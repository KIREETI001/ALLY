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ments" sheetId="1" state="visible" r:id="rId3"/>
    <sheet name="Pricing" sheetId="2" state="visible" r:id="rId4"/>
    <sheet name="Features" sheetId="3" state="visible" r:id="rId5"/>
    <sheet name="Competitors" sheetId="4" state="visible" r:id="rId6"/>
    <sheet name="Unit Economics" sheetId="5" state="visible" r:id="rId7"/>
    <sheet name="Subsidies" sheetId="6" state="visible" r:id="rId8"/>
    <sheet name="KPI Targe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<sst xmlns="http://schemas.openxmlformats.org/spreadsheetml/2006/main" count="668" uniqueCount="420">
  <si>
    <t xml:space="preserve">ALLY — Caregiver Segments</t>
  </si>
  <si>
    <t xml:space="preserve">Nine archetypes ALLY must serve. TAM is rough order-of-magnitude for Singapore.</t>
  </si>
  <si>
    <t xml:space="preserve">Archetype</t>
  </si>
  <si>
    <t xml:space="preserve">SG TAM (rough)</t>
  </si>
  <si>
    <t xml:space="preserve">Avg hrs/week</t>
  </si>
  <si>
    <t xml:space="preserve">Primary pain point</t>
  </si>
  <si>
    <t xml:space="preserve">Willingness to pay (SGD/mo)</t>
  </si>
  <si>
    <t xml:space="preserve">Best tier match</t>
  </si>
  <si>
    <t xml:space="preserve">Acquisition channel</t>
  </si>
  <si>
    <t xml:space="preserve">Stickiness</t>
  </si>
  <si>
    <t xml:space="preserve">Notes</t>
  </si>
  <si>
    <t xml:space="preserve">Sandwich Generation Anchor</t>
  </si>
  <si>
    <t xml:space="preserve">Mental load + single point of failure</t>
  </si>
  <si>
    <t xml:space="preserve">10–25</t>
  </si>
  <si>
    <t xml:space="preserve">ALLY Plus / Family</t>
  </si>
  <si>
    <t xml:space="preserve">Hospital QR + employer EAP</t>
  </si>
  <si>
    <t xml:space="preserve">High</t>
  </si>
  <si>
    <t xml:space="preserve">Highest LTV; anchors product positioning</t>
  </si>
  <si>
    <t xml:space="preserve">Spouse Caregiver (elderly)</t>
  </si>
  <si>
    <t xml:space="preserve">Loneliness + tech intimidation</t>
  </si>
  <si>
    <t xml:space="preserve">0–10</t>
  </si>
  <si>
    <t xml:space="preserve">ALLY Free → Plus (subsidised)</t>
  </si>
  <si>
    <t xml:space="preserve">Polyclinic referral + senior centres</t>
  </si>
  <si>
    <t xml:space="preserve">Very high once trusted</t>
  </si>
  <si>
    <t xml:space="preserve">Onboarding via simple flows, audio support</t>
  </si>
  <si>
    <t xml:space="preserve">Distributed Family</t>
  </si>
  <si>
    <t xml:space="preserve">Information asymmetry + family conflict</t>
  </si>
  <si>
    <t xml:space="preserve">10–20</t>
  </si>
  <si>
    <t xml:space="preserve">ALLY Family</t>
  </si>
  <si>
    <t xml:space="preserve">Word of mouth + viral team invites</t>
  </si>
  <si>
    <t xml:space="preserve">One paying seat funds 3–5 free seats; viral coefficient up to 1.8x</t>
  </si>
  <si>
    <t xml:space="preserve">FDW-Reliant Household</t>
  </si>
  <si>
    <t xml:space="preserve">Family blind to daily care quality</t>
  </si>
  <si>
    <t xml:space="preserve">15–30</t>
  </si>
  <si>
    <t xml:space="preserve">ALLY Family + FDW seat</t>
  </si>
  <si>
    <t xml:space="preserve">Maid agencies + employer briefings</t>
  </si>
  <si>
    <t xml:space="preserve">Moderate</t>
  </si>
  <si>
    <t xml:space="preserve">FDW-first mode is the differentiator</t>
  </si>
  <si>
    <t xml:space="preserve">Young Caregiver (&lt;35)</t>
  </si>
  <si>
    <t xml:space="preserve">Information shock + low income</t>
  </si>
  <si>
    <t xml:space="preserve">0–8</t>
  </si>
  <si>
    <t xml:space="preserve">ALLY Free + uni partnership</t>
  </si>
  <si>
    <t xml:space="preserve">Student support services + social media</t>
  </si>
  <si>
    <t xml:space="preserve">Founder-segment; brand-defining</t>
  </si>
  <si>
    <t xml:space="preserve">Dual-Care Caregiver</t>
  </si>
  <si>
    <t xml:space="preserve">Impossible triage between care recipients</t>
  </si>
  <si>
    <t xml:space="preserve">15–25</t>
  </si>
  <si>
    <t xml:space="preserve">ALLY Family + Pro</t>
  </si>
  <si>
    <t xml:space="preserve">Dementia SG, KKH parents groups</t>
  </si>
  <si>
    <t xml:space="preserve">Very high</t>
  </si>
  <si>
    <t xml:space="preserve">Small but high-burden; design for multi-recipient gracefully</t>
  </si>
  <si>
    <t xml:space="preserve">Temporary / Acute Caregiver</t>
  </si>
  <si>
    <t xml:space="preserve">Steep learning curve for episode</t>
  </si>
  <si>
    <t xml:space="preserve">S$29 one-time</t>
  </si>
  <si>
    <t xml:space="preserve">ALLY Recovery (90-day)</t>
  </si>
  <si>
    <t xml:space="preserve">Hospital discharge QR</t>
  </si>
  <si>
    <t xml:space="preserve">Episodic</t>
  </si>
  <si>
    <t xml:space="preserve">Perfect for one-time pricing; high conversion if onboarded at hospital</t>
  </si>
  <si>
    <t xml:space="preserve">Long-Term Chronic Caregiver</t>
  </si>
  <si>
    <t xml:space="preserve">Identity erosion + decade-long load</t>
  </si>
  <si>
    <t xml:space="preserve">8–15</t>
  </si>
  <si>
    <t xml:space="preserve">Disease NGOs (Dementia SG, NKF, SCS)</t>
  </si>
  <si>
    <t xml:space="preserve">Extreme</t>
  </si>
  <si>
    <t xml:space="preserve">Burnout monitoring is most valuable here</t>
  </si>
  <si>
    <t xml:space="preserve">Recipient-Caregiver (dual)</t>
  </si>
  <si>
    <t xml:space="preserve">Invisible to formal care system</t>
  </si>
  <si>
    <t xml:space="preserve">ALLY Plus (subsidised)</t>
  </si>
  <si>
    <t xml:space="preserve">AIC outreach + GP referral</t>
  </si>
  <si>
    <t xml:space="preserve">Ethical priority; subsidised tier fits</t>
  </si>
  <si>
    <t xml:space="preserve">Total addressable (SG, rough)</t>
  </si>
  <si>
    <t xml:space="preserve">Note: TAM is overlapping (a household can be in two archetypes). Real reachable TAM ~210k informal caregivers per MOH.</t>
  </si>
  <si>
    <t xml:space="preserve">ALLY — Eight-Tier Pricing Ladder</t>
  </si>
  <si>
    <t xml:space="preserve">Anchored by a Free tier (acquisition) and B2B2C tiers (durable revenue).</t>
  </si>
  <si>
    <t xml:space="preserve">Tier</t>
  </si>
  <si>
    <t xml:space="preserve">Audience</t>
  </si>
  <si>
    <t xml:space="preserve">Price (SGD)</t>
  </si>
  <si>
    <t xml:space="preserve">Billing model</t>
  </si>
  <si>
    <t xml:space="preserve">Care recipients</t>
  </si>
  <si>
    <t xml:space="preserve">Care team seats</t>
  </si>
  <si>
    <t xml:space="preserve">Key gated features</t>
  </si>
  <si>
    <t xml:space="preserve">Strategic role</t>
  </si>
  <si>
    <t xml:space="preserve">ALLY Free</t>
  </si>
  <si>
    <t xml:space="preserve">Students, price-sensitive, top-of-funnel</t>
  </si>
  <si>
    <t xml:space="preserve">0</t>
  </si>
  <si>
    <t xml:space="preserve">No charge</t>
  </si>
  <si>
    <t xml:space="preserve">English UI, 10 AI msgs/mo, basic tasks</t>
  </si>
  <si>
    <t xml:space="preserve">Acquisition + viral fanout</t>
  </si>
  <si>
    <t xml:space="preserve">ALLY Plus</t>
  </si>
  <si>
    <t xml:space="preserve">Sandwich generation, distributed family</t>
  </si>
  <si>
    <t xml:space="preserve">9.90 / mo or 99 / yr</t>
  </si>
  <si>
    <t xml:space="preserve">Subscription</t>
  </si>
  <si>
    <t xml:space="preserve">Unlimited AI, full subsidy navigator, multilingual UI, burnout monitor</t>
  </si>
  <si>
    <t xml:space="preserve">Consumer flagship</t>
  </si>
  <si>
    <t xml:space="preserve">Multi-recipient households, FDW employers</t>
  </si>
  <si>
    <t xml:space="preserve">14.90 / mo or 149 / yr</t>
  </si>
  <si>
    <t xml:space="preserve">FDW first-class seat, calendar sync, doc storage</t>
  </si>
  <si>
    <t xml:space="preserve">Multi-recipient upsell</t>
  </si>
  <si>
    <t xml:space="preserve">ALLY Recovery</t>
  </si>
  <si>
    <t xml:space="preserve">Temporary / post-op caregivers</t>
  </si>
  <si>
    <t xml:space="preserve">29 one-time</t>
  </si>
  <si>
    <t xml:space="preserve">One-time, 90-day access</t>
  </si>
  <si>
    <t xml:space="preserve">All Plus features for fixed episode</t>
  </si>
  <si>
    <t xml:space="preserve">Episodic capture from hospital channel</t>
  </si>
  <si>
    <t xml:space="preserve">ALLY Pro</t>
  </si>
  <si>
    <t xml:space="preserve">Power users, professional family caregivers</t>
  </si>
  <si>
    <t xml:space="preserve">24.90 / mo</t>
  </si>
  <si>
    <t xml:space="preserve">Singpass/MyInfo (when available), priority support, export-to-doctor</t>
  </si>
  <si>
    <t xml:space="preserve">Willingness-to-pay tail</t>
  </si>
  <si>
    <t xml:space="preserve">ALLY for Employers</t>
  </si>
  <si>
    <t xml:space="preserve">HR / EAP partners</t>
  </si>
  <si>
    <t xml:space="preserve">6 / employee / mo (min 50 seats)</t>
  </si>
  <si>
    <t xml:space="preserve">B2B annual contract</t>
  </si>
  <si>
    <t xml:space="preserve">employee scope</t>
  </si>
  <si>
    <t xml:space="preserve">Anonymous burnout dashboard, custom resource bundles</t>
  </si>
  <si>
    <t xml:space="preserve">Durable B2B revenue line</t>
  </si>
  <si>
    <t xml:space="preserve">ALLY for Hospitals</t>
  </si>
  <si>
    <t xml:space="preserve">Hospital discharge integration</t>
  </si>
  <si>
    <t xml:space="preserve">15–30 per discharge bundle</t>
  </si>
  <si>
    <t xml:space="preserve">B2B per-discharge</t>
  </si>
  <si>
    <t xml:space="preserve">patient scope</t>
  </si>
  <si>
    <t xml:space="preserve">family scope</t>
  </si>
  <si>
    <t xml:space="preserve">QR onboarding, ALLY Plus prepaid 90 days, readmission analytics</t>
  </si>
  <si>
    <t xml:space="preserve">Wedge channel + clinical credibility</t>
  </si>
  <si>
    <t xml:space="preserve">ALLY Subsidised</t>
  </si>
  <si>
    <t xml:space="preserve">Low-income, HCG-eligible</t>
  </si>
  <si>
    <t xml:space="preserve">0 (or 1 / mo, means-tested)</t>
  </si>
  <si>
    <t xml:space="preserve">Subsidised / sponsored</t>
  </si>
  <si>
    <t xml:space="preserve">ALLY Plus included</t>
  </si>
  <si>
    <t xml:space="preserve">Equity &amp; legitimacy</t>
  </si>
  <si>
    <t xml:space="preserve">ALLY — Feature Matrix (tiers × features)</t>
  </si>
  <si>
    <t xml:space="preserve">Y = included, L = limited, blank = not included.</t>
  </si>
  <si>
    <t xml:space="preserve">Feature</t>
  </si>
  <si>
    <t xml:space="preserve">Free</t>
  </si>
  <si>
    <t xml:space="preserve">Plus</t>
  </si>
  <si>
    <t xml:space="preserve">Family</t>
  </si>
  <si>
    <t xml:space="preserve">Recovery</t>
  </si>
  <si>
    <t xml:space="preserve">Pro</t>
  </si>
  <si>
    <t xml:space="preserve">Employer</t>
  </si>
  <si>
    <t xml:space="preserve">Hospital</t>
  </si>
  <si>
    <t xml:space="preserve">Subsidised</t>
  </si>
  <si>
    <t xml:space="preserve">Discharge summary parser</t>
  </si>
  <si>
    <t xml:space="preserve">L (1/mo)</t>
  </si>
  <si>
    <t xml:space="preserve">Y</t>
  </si>
  <si>
    <t xml:space="preserve">Care plan &amp; task list</t>
  </si>
  <si>
    <t xml:space="preserve">AI chat (Claude-powered)</t>
  </si>
  <si>
    <t xml:space="preserve">L (10/mo)</t>
  </si>
  <si>
    <t xml:space="preserve">Care team / family seats</t>
  </si>
  <si>
    <t xml:space="preserve">L (3)</t>
  </si>
  <si>
    <t xml:space="preserve">Y (6)</t>
  </si>
  <si>
    <t xml:space="preserve">Y (8)</t>
  </si>
  <si>
    <t xml:space="preserve">Y (10)</t>
  </si>
  <si>
    <t xml:space="preserve">Subsidy navigator</t>
  </si>
  <si>
    <t xml:space="preserve">L (eligibility only)</t>
  </si>
  <si>
    <t xml:space="preserve">Y (full)</t>
  </si>
  <si>
    <t xml:space="preserve">Multilingual UI (5 langs)</t>
  </si>
  <si>
    <t xml:space="preserve">English only</t>
  </si>
  <si>
    <t xml:space="preserve">Multilingual content library</t>
  </si>
  <si>
    <t xml:space="preserve">FDW first-class seat</t>
  </si>
  <si>
    <t xml:space="preserve">Multi-recipient</t>
  </si>
  <si>
    <t xml:space="preserve">1</t>
  </si>
  <si>
    <t xml:space="preserve">3</t>
  </si>
  <si>
    <t xml:space="preserve">5</t>
  </si>
  <si>
    <t xml:space="preserve">Burnout passive monitoring</t>
  </si>
  <si>
    <t xml:space="preserve">Mood log</t>
  </si>
  <si>
    <t xml:space="preserve">Document storage &amp; photos</t>
  </si>
  <si>
    <t xml:space="preserve">L (100MB)</t>
  </si>
  <si>
    <t xml:space="preserve">Y (5GB)</t>
  </si>
  <si>
    <t xml:space="preserve">L (1GB)</t>
  </si>
  <si>
    <t xml:space="preserve">Y (20GB)</t>
  </si>
  <si>
    <t xml:space="preserve">Y (org)</t>
  </si>
  <si>
    <t xml:space="preserve">Y (90d)</t>
  </si>
  <si>
    <t xml:space="preserve">Calendar sync (Google/Outlook)</t>
  </si>
  <si>
    <t xml:space="preserve">Singpass / MyInfo (Y2)</t>
  </si>
  <si>
    <t xml:space="preserve">Hospital QR onboarding</t>
  </si>
  <si>
    <t xml:space="preserve">Aggregate burnout dashboard (HR)</t>
  </si>
  <si>
    <t xml:space="preserve">Hospital readmission analytics</t>
  </si>
  <si>
    <t xml:space="preserve">Export-to-doctor reports</t>
  </si>
  <si>
    <t xml:space="preserve">Priority support</t>
  </si>
  <si>
    <t xml:space="preserve">ALLY — Competitive Landscape</t>
  </si>
  <si>
    <t xml:space="preserve">Singapore players are mostly labour marketplaces. International coordination apps lack SG localisation.</t>
  </si>
  <si>
    <t xml:space="preserve">Competitor</t>
  </si>
  <si>
    <t xml:space="preserve">Geography</t>
  </si>
  <si>
    <t xml:space="preserve">Category</t>
  </si>
  <si>
    <t xml:space="preserve">Coordination?</t>
  </si>
  <si>
    <t xml:space="preserve">Discharge parsing?</t>
  </si>
  <si>
    <t xml:space="preserve">SG subsidy nav?</t>
  </si>
  <si>
    <t xml:space="preserve">Multilingual?</t>
  </si>
  <si>
    <t xml:space="preserve">FDW workflow?</t>
  </si>
  <si>
    <t xml:space="preserve">Homage</t>
  </si>
  <si>
    <t xml:space="preserve">SG</t>
  </si>
  <si>
    <t xml:space="preserve">Care marketplace</t>
  </si>
  <si>
    <t xml:space="preserve">No</t>
  </si>
  <si>
    <t xml:space="preserve">Limited</t>
  </si>
  <si>
    <t xml:space="preserve">~S$23/hr labour booking; partnership candidate not competitor</t>
  </si>
  <si>
    <t xml:space="preserve">Jaga-Me</t>
  </si>
  <si>
    <t xml:space="preserve">Home personal care + nursing</t>
  </si>
  <si>
    <t xml:space="preserve">Caregiver Asia</t>
  </si>
  <si>
    <t xml:space="preserve">Vetted caregiver matching</t>
  </si>
  <si>
    <t xml:space="preserve">Active Global</t>
  </si>
  <si>
    <t xml:space="preserve">Home care agency</t>
  </si>
  <si>
    <t xml:space="preserve">Service business</t>
  </si>
  <si>
    <t xml:space="preserve">HealthHub (Synapxe)</t>
  </si>
  <si>
    <t xml:space="preserve">Public health portal</t>
  </si>
  <si>
    <t xml:space="preserve">Yes (basic)</t>
  </si>
  <si>
    <t xml:space="preserve">Patient-first; partnership target</t>
  </si>
  <si>
    <t xml:space="preserve">AIC website</t>
  </si>
  <si>
    <t xml:space="preserve">Government info</t>
  </si>
  <si>
    <t xml:space="preserve">Y (informational)</t>
  </si>
  <si>
    <t xml:space="preserve">Yes</t>
  </si>
  <si>
    <t xml:space="preserve">Static content; not interactive</t>
  </si>
  <si>
    <t xml:space="preserve">Speedoc</t>
  </si>
  <si>
    <t xml:space="preserve">Telemedicine</t>
  </si>
  <si>
    <t xml:space="preserve">Adjacent — partnership candidate</t>
  </si>
  <si>
    <t xml:space="preserve">Doctor Anywhere</t>
  </si>
  <si>
    <t xml:space="preserve">Ianacare</t>
  </si>
  <si>
    <t xml:space="preserve">US</t>
  </si>
  <si>
    <t xml:space="preserve">Caregiver coordination</t>
  </si>
  <si>
    <t xml:space="preserve">No (US schemes only)</t>
  </si>
  <si>
    <t xml:space="preserve">Closest functional analog</t>
  </si>
  <si>
    <t xml:space="preserve">CaringBridge</t>
  </si>
  <si>
    <t xml:space="preserve">Family communication</t>
  </si>
  <si>
    <t xml:space="preserve">Partial</t>
  </si>
  <si>
    <t xml:space="preserve">Communication-only</t>
  </si>
  <si>
    <t xml:space="preserve">Lotsa Helping Hands</t>
  </si>
  <si>
    <t xml:space="preserve">Volunteer calendar</t>
  </si>
  <si>
    <t xml:space="preserve">Calendar-only</t>
  </si>
  <si>
    <t xml:space="preserve">Volunteer coordination</t>
  </si>
  <si>
    <t xml:space="preserve">Carely</t>
  </si>
  <si>
    <t xml:space="preserve">US Medicare framing</t>
  </si>
  <si>
    <t xml:space="preserve">Wellthy</t>
  </si>
  <si>
    <t xml:space="preserve">Concierge benefit</t>
  </si>
  <si>
    <t xml:space="preserve">Yes (human-led)</t>
  </si>
  <si>
    <t xml:space="preserve">No (US)</t>
  </si>
  <si>
    <t xml:space="preserve">Employer-paid; high-touch human service</t>
  </si>
  <si>
    <t xml:space="preserve">Cariloop</t>
  </si>
  <si>
    <t xml:space="preserve">Caregiver coaching</t>
  </si>
  <si>
    <t xml:space="preserve">Coaching, not product</t>
  </si>
  <si>
    <t xml:space="preserve">Homethrive</t>
  </si>
  <si>
    <t xml:space="preserve">Caregiver navigation</t>
  </si>
  <si>
    <t xml:space="preserve">Employer-paid</t>
  </si>
  <si>
    <t xml:space="preserve">CareLinx</t>
  </si>
  <si>
    <t xml:space="preserve">Hire marketplace</t>
  </si>
  <si>
    <t xml:space="preserve">~US$15-25/hr matching</t>
  </si>
  <si>
    <t xml:space="preserve">Cera Care</t>
  </si>
  <si>
    <t xml:space="preserve">UK</t>
  </si>
  <si>
    <t xml:space="preserve">Tech-enabled home care</t>
  </si>
  <si>
    <t xml:space="preserve">Internal</t>
  </si>
  <si>
    <t xml:space="preserve">No (UK)</t>
  </si>
  <si>
    <t xml:space="preserve">Service business with software</t>
  </si>
  <si>
    <t xml:space="preserve">Lifted</t>
  </si>
  <si>
    <t xml:space="preserve">Live-in care</t>
  </si>
  <si>
    <t xml:space="preserve">Service-led</t>
  </si>
  <si>
    <t xml:space="preserve">Honor</t>
  </si>
  <si>
    <t xml:space="preserve">Home care network</t>
  </si>
  <si>
    <t xml:space="preserve">Largest US home care network</t>
  </si>
  <si>
    <t xml:space="preserve">Papa Inc</t>
  </si>
  <si>
    <t xml:space="preserve">Companion care</t>
  </si>
  <si>
    <t xml:space="preserve">Companion visits</t>
  </si>
  <si>
    <t xml:space="preserve">ALLY</t>
  </si>
  <si>
    <t xml:space="preserve">Yes (Claude-powered)</t>
  </si>
  <si>
    <t xml:space="preserve">Yes (full)</t>
  </si>
  <si>
    <t xml:space="preserve">Yes (5 langs)</t>
  </si>
  <si>
    <t xml:space="preserve">Yes (first-class)</t>
  </si>
  <si>
    <t xml:space="preserve">Only player in this lane in SG</t>
  </si>
  <si>
    <t xml:space="preserve">ALLY — Unit Economics Model</t>
  </si>
  <si>
    <t xml:space="preserve">Blue cells = inputs. Black cells = formulas. Edit inputs and the model recalculates.</t>
  </si>
  <si>
    <t xml:space="preserve">ASSUMPTIONS (edit blue cells)</t>
  </si>
  <si>
    <t xml:space="preserve">B2B2C SCENARIOS</t>
  </si>
  <si>
    <t xml:space="preserve">Plus monthly price (SGD)</t>
  </si>
  <si>
    <t xml:space="preserve">Employer ARPU (SGD/seat/mo)</t>
  </si>
  <si>
    <t xml:space="preserve">Family monthly price (SGD)</t>
  </si>
  <si>
    <t xml:space="preserve">Avg employer contract size (seats)</t>
  </si>
  <si>
    <t xml:space="preserve">Pro monthly price (SGD)</t>
  </si>
  <si>
    <t xml:space="preserve">Number of employer customers (Y1 target)</t>
  </si>
  <si>
    <t xml:space="preserve">Recovery one-time price (SGD)</t>
  </si>
  <si>
    <t xml:space="preserve">Hospital per-discharge price (SGD)</t>
  </si>
  <si>
    <t xml:space="preserve">Average revenue per consumer (blended)</t>
  </si>
  <si>
    <t xml:space="preserve">Avg discharges per ward / mo</t>
  </si>
  <si>
    <t xml:space="preserve">Claude API cost per active user / mo (SGD)</t>
  </si>
  <si>
    <t xml:space="preserve">Number of hospital wards partnered (Y1 target)</t>
  </si>
  <si>
    <t xml:space="preserve">Hosting + Supabase per user / mo (SGD)</t>
  </si>
  <si>
    <t xml:space="preserve">Consumer paying users (Y1 target)</t>
  </si>
  <si>
    <t xml:space="preserve">Payment processing %</t>
  </si>
  <si>
    <t xml:space="preserve">Translation/content licensing per user / mo</t>
  </si>
  <si>
    <t xml:space="preserve">Customer acquisition cost (SGD)</t>
  </si>
  <si>
    <t xml:space="preserve">ANNUAL REVENUE (Year 1 projection)</t>
  </si>
  <si>
    <t xml:space="preserve">Monthly churn rate</t>
  </si>
  <si>
    <t xml:space="preserve">Consumer ARR (SGD)</t>
  </si>
  <si>
    <t xml:space="preserve">Annual subscriber lifetime months</t>
  </si>
  <si>
    <t xml:space="preserve">Employer ARR (SGD)</t>
  </si>
  <si>
    <t xml:space="preserve">Hospital ARR (SGD)</t>
  </si>
  <si>
    <t xml:space="preserve">DERIVED METRICS</t>
  </si>
  <si>
    <t xml:space="preserve">Total Y1 ARR (SGD)</t>
  </si>
  <si>
    <t xml:space="preserve">Cost per consumer per month (SGD)</t>
  </si>
  <si>
    <t xml:space="preserve">Estimated total cost (Y1 illustrative, SGD)</t>
  </si>
  <si>
    <t xml:space="preserve">Gross margin per consumer per month (SGD)</t>
  </si>
  <si>
    <t xml:space="preserve">Y1 gross profit estimate (SGD)</t>
  </si>
  <si>
    <t xml:space="preserve">Gross margin %</t>
  </si>
  <si>
    <t xml:space="preserve">Implied Y1 gross margin</t>
  </si>
  <si>
    <t xml:space="preserve">Lifetime gross margin per consumer (SGD)</t>
  </si>
  <si>
    <t xml:space="preserve">LTV / CAC ratio</t>
  </si>
  <si>
    <t xml:space="preserve">Payback period (months)</t>
  </si>
  <si>
    <t xml:space="preserve">SENSITIVITY NOTES</t>
  </si>
  <si>
    <t xml:space="preserve">• Plus price elasticity is highest at S$8–12. Above S$15, churn likely accelerates.</t>
  </si>
  <si>
    <t xml:space="preserve">• Claude API costs scale ~linearly with active users. Caching and prompt-discipline can reduce 30%.</t>
  </si>
  <si>
    <t xml:space="preserve">• CAC is the most uncertain input. Assume S$30+ until viral fanout proven.</t>
  </si>
  <si>
    <t xml:space="preserve">• Employer contract close-rate is the binary that determines the year. Pursue at least 10 conversations.</t>
  </si>
  <si>
    <t xml:space="preserve">• Hospital channel economics dwarf consumer if landed; risk is procurement timeline.</t>
  </si>
  <si>
    <t xml:space="preserve">ALLY — Singapore Government Scheme Database</t>
  </si>
  <si>
    <t xml:space="preserve">Schemes ALLY surfaces in the Subsidy Navigator. Verify quarterly against AIC and MOH sources.</t>
  </si>
  <si>
    <t xml:space="preserve">Scheme</t>
  </si>
  <si>
    <t xml:space="preserve">Administering body</t>
  </si>
  <si>
    <t xml:space="preserve">Max value</t>
  </si>
  <si>
    <t xml:space="preserve">Eligibility (summary)</t>
  </si>
  <si>
    <t xml:space="preserve">Income test</t>
  </si>
  <si>
    <t xml:space="preserve">How to apply</t>
  </si>
  <si>
    <t xml:space="preserve">Awareness gap</t>
  </si>
  <si>
    <t xml:space="preserve">Home Caregiving Grant (HCG)</t>
  </si>
  <si>
    <t xml:space="preserve">AIC</t>
  </si>
  <si>
    <t xml:space="preserve">S$600/mo (from Apr 2026)</t>
  </si>
  <si>
    <t xml:space="preserve">SG citizen/PR; lives in SG; needs help with ≥3 ADLs; not in residential LTC</t>
  </si>
  <si>
    <t xml:space="preserve">Tier 1 (≤S$1,500): S$600; Tier 2 (S$1,501–3,600): S$400; Tier 3 (S$3,601–4,800): S$200</t>
  </si>
  <si>
    <t xml:space="preserve">AIC Caregivers Portal or polyclinic referral</t>
  </si>
  <si>
    <t xml:space="preserve">Moderate (~50% awareness)</t>
  </si>
  <si>
    <t xml:space="preserve">Just enhanced 1 Apr 2026 — eligibility ceiling raised to S$4,800/pp/mo</t>
  </si>
  <si>
    <t xml:space="preserve">Migrant Domestic Worker Levy Concession</t>
  </si>
  <si>
    <t xml:space="preserve">MOM</t>
  </si>
  <si>
    <t xml:space="preserve">S$60/mo (vs S$300 standard)</t>
  </si>
  <si>
    <t xml:space="preserve">Care recipient with disability; FDW employed for caregiving</t>
  </si>
  <si>
    <t xml:space="preserve">No income test</t>
  </si>
  <si>
    <t xml:space="preserve">MOM portal</t>
  </si>
  <si>
    <t xml:space="preserve">Saves S$2,880/yr per FDW</t>
  </si>
  <si>
    <t xml:space="preserve">Caregivers Training Grant (CTG)</t>
  </si>
  <si>
    <t xml:space="preserve">S$200 reimbursable / yr</t>
  </si>
  <si>
    <t xml:space="preserve">Family caregivers attending AIC-approved courses</t>
  </si>
  <si>
    <t xml:space="preserve">AIC portal</t>
  </si>
  <si>
    <t xml:space="preserve">Low (38% per AIC 2023 survey)</t>
  </si>
  <si>
    <t xml:space="preserve">Tied to course completion</t>
  </si>
  <si>
    <t xml:space="preserve">Pioneer Generation Package</t>
  </si>
  <si>
    <t xml:space="preserve">MOH</t>
  </si>
  <si>
    <t xml:space="preserve">Up to ~S$9,000/yr</t>
  </si>
  <si>
    <t xml:space="preserve">SG citizens born ≤1949 (Pioneer Generation cohort)</t>
  </si>
  <si>
    <t xml:space="preserve">Auto-applied via NRIC</t>
  </si>
  <si>
    <t xml:space="preserve">High in cohort</t>
  </si>
  <si>
    <t xml:space="preserve">MediShield Life premium subsidies + Medisave top-ups + outpatient subsidies</t>
  </si>
  <si>
    <t xml:space="preserve">Merdeka Generation Package</t>
  </si>
  <si>
    <t xml:space="preserve">Up to ~S$5,000/yr</t>
  </si>
  <si>
    <t xml:space="preserve">SG citizens born 1950–1959</t>
  </si>
  <si>
    <t xml:space="preserve">Companion to PG package</t>
  </si>
  <si>
    <t xml:space="preserve">CHAS (Community Health Assist Scheme)</t>
  </si>
  <si>
    <t xml:space="preserve">Up to ~S$700/yr (CHAS Blue)</t>
  </si>
  <si>
    <t xml:space="preserve">SG citizens; means-tested</t>
  </si>
  <si>
    <t xml:space="preserve">Per-capita household income tiers</t>
  </si>
  <si>
    <t xml:space="preserve">CHAS card application</t>
  </si>
  <si>
    <t xml:space="preserve">Subsidised outpatient at GP and dental clinics</t>
  </si>
  <si>
    <t xml:space="preserve">Senior Mobility &amp; Enabling Fund (SMF/SMF Plus)</t>
  </si>
  <si>
    <t xml:space="preserve">Up to ~S$2,800</t>
  </si>
  <si>
    <t xml:space="preserve">SG citizen/PR; assessed need for mobility / homecare equipment</t>
  </si>
  <si>
    <t xml:space="preserve">Means-tested</t>
  </si>
  <si>
    <t xml:space="preserve">AIC + occupational therapist assessment</t>
  </si>
  <si>
    <t xml:space="preserve">Low</t>
  </si>
  <si>
    <t xml:space="preserve">Wheelchairs, grab bars, hospital beds, shower chairs</t>
  </si>
  <si>
    <t xml:space="preserve">MediFund (incl. Silver)</t>
  </si>
  <si>
    <t xml:space="preserve">Means-tested safety net</t>
  </si>
  <si>
    <t xml:space="preserve">SG citizens unable to afford subsidised hospital care</t>
  </si>
  <si>
    <t xml:space="preserve">Hospital medical social worker</t>
  </si>
  <si>
    <t xml:space="preserve">Last-resort assistance after MediShield Life and Medisave</t>
  </si>
  <si>
    <t xml:space="preserve">Silver Support Scheme</t>
  </si>
  <si>
    <t xml:space="preserve">CPF Board</t>
  </si>
  <si>
    <t xml:space="preserve">Up to S$2,520/yr</t>
  </si>
  <si>
    <t xml:space="preserve">Low-income elderly (age ≥65); means-tested</t>
  </si>
  <si>
    <t xml:space="preserve">Auto-assessed via CPF</t>
  </si>
  <si>
    <t xml:space="preserve">Quarterly payouts to qualifying seniors</t>
  </si>
  <si>
    <t xml:space="preserve">ElderShield / CareShield Life</t>
  </si>
  <si>
    <t xml:space="preserve">MOH / CPF</t>
  </si>
  <si>
    <t xml:space="preserve">Up to ~S$650/mo (CareShield Life base)</t>
  </si>
  <si>
    <t xml:space="preserve">Severe disability (≥3 ADLs); SG citizen/PR</t>
  </si>
  <si>
    <t xml:space="preserve">No income test (premium-based)</t>
  </si>
  <si>
    <t xml:space="preserve">Auto-enrolled at age 30 (CareShield Life)</t>
  </si>
  <si>
    <t xml:space="preserve">Long-term care insurance payout</t>
  </si>
  <si>
    <t xml:space="preserve">Interim Disability Assistance Programme for the Elderly (IDAPE)</t>
  </si>
  <si>
    <t xml:space="preserve">Up to S$250/mo</t>
  </si>
  <si>
    <t xml:space="preserve">Severe disability + age ≥30 at policy start (predates ElderShield)</t>
  </si>
  <si>
    <t xml:space="preserve">For elderly who missed ElderShield enrolment window</t>
  </si>
  <si>
    <t xml:space="preserve">Seniors Mobility Grant (SMG)</t>
  </si>
  <si>
    <t xml:space="preserve">Subsidies on equipment</t>
  </si>
  <si>
    <t xml:space="preserve">Frail elderly with mobility need</t>
  </si>
  <si>
    <t xml:space="preserve">AIC referral</t>
  </si>
  <si>
    <t xml:space="preserve">Often confused with SMF; more equipment-focused</t>
  </si>
  <si>
    <t xml:space="preserve">ALLY — Year 1 KPI Targets</t>
  </si>
  <si>
    <t xml:space="preserve">Stretch targets aligned with the 12-month roadmap in the Strategy Bible.</t>
  </si>
  <si>
    <t xml:space="preserve">KPI</t>
  </si>
  <si>
    <t xml:space="preserve">Month 3</t>
  </si>
  <si>
    <t xml:space="preserve">Month 6</t>
  </si>
  <si>
    <t xml:space="preserve">Month 9</t>
  </si>
  <si>
    <t xml:space="preserve">Month 12</t>
  </si>
  <si>
    <t xml:space="preserve">Active free users</t>
  </si>
  <si>
    <t xml:space="preserve">Paying consumer subscribers</t>
  </si>
  <si>
    <t xml:space="preserve">Time-to-first-value (median, mins)</t>
  </si>
  <si>
    <t xml:space="preserve">Week-4 retention</t>
  </si>
  <si>
    <t xml:space="preserve">25%</t>
  </si>
  <si>
    <t xml:space="preserve">35%</t>
  </si>
  <si>
    <t xml:space="preserve">45%</t>
  </si>
  <si>
    <t xml:space="preserve">55%</t>
  </si>
  <si>
    <t xml:space="preserve">Hospital wards partnered</t>
  </si>
  <si>
    <t xml:space="preserve">Employer contracts signed</t>
  </si>
  <si>
    <t xml:space="preserve">Discharge bundles delivered (cumulative)</t>
  </si>
  <si>
    <t xml:space="preserve">Languages with full content</t>
  </si>
  <si>
    <t xml:space="preserve">Subsidies surfaced per user (avg)</t>
  </si>
  <si>
    <t xml:space="preserve">Avg subsidy value identified per user (SGD)</t>
  </si>
  <si>
    <t xml:space="preserve">NPS</t>
  </si>
  <si>
    <t xml:space="preserve">—</t>
  </si>
  <si>
    <t xml:space="preserve">Y1 ARR (SGD, projection)</t>
  </si>
  <si>
    <t xml:space="preserve">PDPA documentation complete</t>
  </si>
  <si>
    <t xml:space="preserve">Drafting</t>
  </si>
  <si>
    <t xml:space="preserve">Published</t>
  </si>
  <si>
    <t xml:space="preserve">Audited</t>
  </si>
  <si>
    <t xml:space="preserve">SaMD position statement published</t>
  </si>
  <si>
    <t xml:space="preserve">Cyber Essentials certified</t>
  </si>
  <si>
    <t xml:space="preserve">In progress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</si>
</sst>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0%"/>
    <numFmt numFmtId="168" formatCode="0.0%"/>
    <numFmt numFmtId="169" formatCode="#,##0.0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D3D47"/>
      <name val="Calibri"/>
      <family val="0"/>
      <charset val="1"/>
    </font>
    <font>
      <i val="true"/>
      <sz val="11"/>
      <color rgb="FF1B6B7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A2B35"/>
      <name val="Calibri"/>
      <family val="0"/>
      <charset val="1"/>
    </font>
    <font>
      <b val="true"/>
      <sz val="11"/>
      <color rgb="FF0D3D47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0"/>
      <color rgb="FF5A7A8A"/>
      <name val="Calibri"/>
      <family val="0"/>
      <charset val="1"/>
    </font>
    <font>
      <b val="true"/>
      <sz val="12"/>
      <color rgb="FF0D3D47"/>
      <name val="Calibri"/>
      <family val="0"/>
      <charset val="1"/>
    </font>
    <font>
      <sz val="11"/>
      <color rgb="FF0000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3D47"/>
        <bgColor rgb="FF1A2B35"/>
      </patternFill>
    </fill>
    <fill>
      <patternFill patternType="solid">
        <fgColor rgb="FFFFFFFF"/>
        <bgColor rgb="FFF4F8FA"/>
      </patternFill>
    </fill>
    <fill>
      <patternFill patternType="solid">
        <fgColor rgb="FFF4F8FA"/>
        <bgColor rgb="FFFFFFFF"/>
      </patternFill>
    </fill>
    <fill>
      <patternFill patternType="solid">
        <fgColor rgb="FF1B6B7B"/>
        <bgColor rgb="FF008080"/>
      </patternFill>
    </fill>
    <fill>
      <patternFill patternType="solid">
        <fgColor rgb="FFFFFC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D9DE"/>
      </left>
      <right style="thin">
        <color rgb="FFCCD9DE"/>
      </right>
      <top style="thin">
        <color rgb="FFCCD9DE"/>
      </top>
      <bottom style="thin">
        <color rgb="FFCC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7B"/>
      <rgbColor rgb="FFC0C0C0"/>
      <rgbColor rgb="FF808080"/>
      <rgbColor rgb="FF9999FF"/>
      <rgbColor rgb="FF993366"/>
      <rgbColor rgb="FFFFFCE0"/>
      <rgbColor rgb="FFF4F8FA"/>
      <rgbColor rgb="FF660066"/>
      <rgbColor rgb="FFFF8080"/>
      <rgbColor rgb="FF0066CC"/>
      <rgbColor rgb="FFCC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A8A"/>
      <rgbColor rgb="FF969696"/>
      <rgbColor rgb="FF0D3D47"/>
      <rgbColor rgb="FF339966"/>
      <rgbColor rgb="FF003300"/>
      <rgbColor rgb="FF333300"/>
      <rgbColor rgb="FF993300"/>
      <rgbColor rgb="FF993366"/>
      <rgbColor rgb="FF333399"/>
      <rgbColor rgb="FF1A2B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36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3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n">
        <v>60000</v>
      </c>
      <c r="C5" s="5" t="n">
        <v>25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</row>
    <row r="6" customFormat="false" ht="23.25" hidden="false" customHeight="true" outlineLevel="0" collapsed="false">
      <c r="A6" s="6" t="s">
        <v>18</v>
      </c>
      <c r="B6" s="6" t="n">
        <v>35000</v>
      </c>
      <c r="C6" s="6" t="n">
        <v>50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</row>
    <row r="7" customFormat="false" ht="23.25" hidden="false" customHeight="true" outlineLevel="0" collapsed="false">
      <c r="A7" s="5" t="s">
        <v>25</v>
      </c>
      <c r="B7" s="5" t="n">
        <v>25000</v>
      </c>
      <c r="C7" s="5" t="n">
        <v>12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16</v>
      </c>
      <c r="I7" s="5" t="s">
        <v>30</v>
      </c>
    </row>
    <row r="8" customFormat="false" ht="23.25" hidden="false" customHeight="true" outlineLevel="0" collapsed="false">
      <c r="A8" s="6" t="s">
        <v>31</v>
      </c>
      <c r="B8" s="6" t="n">
        <v>80000</v>
      </c>
      <c r="C8" s="6" t="n">
        <v>8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</row>
    <row r="9" customFormat="false" ht="23.25" hidden="false" customHeight="true" outlineLevel="0" collapsed="false">
      <c r="A9" s="5" t="s">
        <v>38</v>
      </c>
      <c r="B9" s="5" t="n">
        <v>18000</v>
      </c>
      <c r="C9" s="5" t="n">
        <v>18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36</v>
      </c>
      <c r="I9" s="5" t="s">
        <v>43</v>
      </c>
    </row>
    <row r="10" customFormat="false" ht="23.25" hidden="false" customHeight="true" outlineLevel="0" collapsed="false">
      <c r="A10" s="6" t="s">
        <v>44</v>
      </c>
      <c r="B10" s="6" t="n">
        <v>8000</v>
      </c>
      <c r="C10" s="6" t="n">
        <v>40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49</v>
      </c>
      <c r="I10" s="6" t="s">
        <v>50</v>
      </c>
    </row>
    <row r="11" customFormat="false" ht="23.25" hidden="false" customHeight="true" outlineLevel="0" collapsed="false">
      <c r="A11" s="5" t="s">
        <v>51</v>
      </c>
      <c r="B11" s="5" t="n">
        <v>30000</v>
      </c>
      <c r="C11" s="5" t="n">
        <v>30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56</v>
      </c>
      <c r="I11" s="5" t="s">
        <v>57</v>
      </c>
    </row>
    <row r="12" customFormat="false" ht="23.25" hidden="false" customHeight="true" outlineLevel="0" collapsed="false">
      <c r="A12" s="6" t="s">
        <v>58</v>
      </c>
      <c r="B12" s="6" t="n">
        <v>45000</v>
      </c>
      <c r="C12" s="6" t="n">
        <v>35</v>
      </c>
      <c r="D12" s="6" t="s">
        <v>59</v>
      </c>
      <c r="E12" s="6" t="s">
        <v>60</v>
      </c>
      <c r="F12" s="6" t="s">
        <v>14</v>
      </c>
      <c r="G12" s="6" t="s">
        <v>61</v>
      </c>
      <c r="H12" s="6" t="s">
        <v>62</v>
      </c>
      <c r="I12" s="6" t="s">
        <v>63</v>
      </c>
    </row>
    <row r="13" customFormat="false" ht="15" hidden="false" customHeight="true" outlineLevel="0" collapsed="false">
      <c r="A13" s="5" t="s">
        <v>64</v>
      </c>
      <c r="B13" s="5" t="n">
        <v>10000</v>
      </c>
      <c r="C13" s="5" t="n">
        <v>20</v>
      </c>
      <c r="D13" s="5" t="s">
        <v>65</v>
      </c>
      <c r="E13" s="5" t="s">
        <v>40</v>
      </c>
      <c r="F13" s="5" t="s">
        <v>66</v>
      </c>
      <c r="G13" s="5" t="s">
        <v>67</v>
      </c>
      <c r="H13" s="5" t="s">
        <v>16</v>
      </c>
      <c r="I13" s="5" t="s">
        <v>68</v>
      </c>
    </row>
    <row r="15" customFormat="false" ht="15" hidden="false" customHeight="true" outlineLevel="0" collapsed="false">
      <c r="A15" s="7" t="s">
        <v>69</v>
      </c>
      <c r="B15" s="8" t="n">
        <f aca="false">SUM(B5:B13)</f>
        <v>311000</v>
      </c>
    </row>
    <row r="16" customFormat="false" ht="15" hidden="false" customHeight="true" outlineLevel="0" collapsed="false">
      <c r="A16" s="9" t="s">
        <v>70</v>
      </c>
      <c r="B16" s="9"/>
      <c r="C16" s="9"/>
      <c r="D16" s="9"/>
      <c r="E16" s="9"/>
      <c r="F16" s="9"/>
      <c r="G16" s="9"/>
      <c r="H16" s="9"/>
      <c r="I16" s="9"/>
    </row>
  </sheetData>
  <mergeCells count="3">
    <mergeCell ref="A1:I1"/>
    <mergeCell ref="A2:I2"/>
    <mergeCell ref="A16:I1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6" min="5" style="1" width="14"/>
    <col collapsed="false" customWidth="true" hidden="false" outlineLevel="0" max="7" min="7" style="1" width="36"/>
    <col collapsed="false" customWidth="true" hidden="false" outlineLevel="0" max="8" min="8" style="1" width="28"/>
  </cols>
  <sheetData>
    <row r="1" customFormat="false" ht="21.75" hidden="false" customHeight="true" outlineLevel="0" collapsed="false">
      <c r="A1" s="2" t="s">
        <v>71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72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79</v>
      </c>
      <c r="H4" s="4" t="s">
        <v>80</v>
      </c>
    </row>
    <row r="5" customFormat="false" ht="23.25" hidden="false" customHeight="true" outlineLevel="0" collapsed="false">
      <c r="A5" s="5" t="s">
        <v>81</v>
      </c>
      <c r="B5" s="5" t="s">
        <v>82</v>
      </c>
      <c r="C5" s="5" t="s">
        <v>83</v>
      </c>
      <c r="D5" s="5" t="s">
        <v>84</v>
      </c>
      <c r="E5" s="5" t="n">
        <v>1</v>
      </c>
      <c r="F5" s="5" t="n">
        <v>3</v>
      </c>
      <c r="G5" s="5" t="s">
        <v>85</v>
      </c>
      <c r="H5" s="5" t="s">
        <v>86</v>
      </c>
    </row>
    <row r="6" customFormat="false" ht="23.25" hidden="false" customHeight="true" outlineLevel="0" collapsed="false">
      <c r="A6" s="6" t="s">
        <v>87</v>
      </c>
      <c r="B6" s="6" t="s">
        <v>88</v>
      </c>
      <c r="C6" s="6" t="s">
        <v>89</v>
      </c>
      <c r="D6" s="6" t="s">
        <v>90</v>
      </c>
      <c r="E6" s="6" t="n">
        <v>1</v>
      </c>
      <c r="F6" s="6" t="n">
        <v>6</v>
      </c>
      <c r="G6" s="6" t="s">
        <v>91</v>
      </c>
      <c r="H6" s="6" t="s">
        <v>92</v>
      </c>
    </row>
    <row r="7" customFormat="false" ht="23.25" hidden="false" customHeight="true" outlineLevel="0" collapsed="false">
      <c r="A7" s="5" t="s">
        <v>28</v>
      </c>
      <c r="B7" s="5" t="s">
        <v>93</v>
      </c>
      <c r="C7" s="5" t="s">
        <v>94</v>
      </c>
      <c r="D7" s="5" t="s">
        <v>90</v>
      </c>
      <c r="E7" s="5" t="n">
        <v>3</v>
      </c>
      <c r="F7" s="5" t="n">
        <v>8</v>
      </c>
      <c r="G7" s="5" t="s">
        <v>95</v>
      </c>
      <c r="H7" s="5" t="s">
        <v>96</v>
      </c>
    </row>
    <row r="8" customFormat="false" ht="23.25" hidden="false" customHeight="true" outlineLevel="0" collapsed="false">
      <c r="A8" s="6" t="s">
        <v>97</v>
      </c>
      <c r="B8" s="6" t="s">
        <v>98</v>
      </c>
      <c r="C8" s="6" t="s">
        <v>99</v>
      </c>
      <c r="D8" s="6" t="s">
        <v>100</v>
      </c>
      <c r="E8" s="6" t="n">
        <v>1</v>
      </c>
      <c r="F8" s="6" t="n">
        <v>6</v>
      </c>
      <c r="G8" s="6" t="s">
        <v>101</v>
      </c>
      <c r="H8" s="6" t="s">
        <v>102</v>
      </c>
    </row>
    <row r="9" customFormat="false" ht="23.25" hidden="false" customHeight="true" outlineLevel="0" collapsed="false">
      <c r="A9" s="5" t="s">
        <v>103</v>
      </c>
      <c r="B9" s="5" t="s">
        <v>104</v>
      </c>
      <c r="C9" s="5" t="s">
        <v>105</v>
      </c>
      <c r="D9" s="5" t="s">
        <v>90</v>
      </c>
      <c r="E9" s="5" t="n">
        <v>5</v>
      </c>
      <c r="F9" s="5" t="n">
        <v>10</v>
      </c>
      <c r="G9" s="5" t="s">
        <v>106</v>
      </c>
      <c r="H9" s="5" t="s">
        <v>107</v>
      </c>
    </row>
    <row r="10" customFormat="false" ht="23.25" hidden="false" customHeight="true" outlineLevel="0" collapsed="false">
      <c r="A10" s="6" t="s">
        <v>108</v>
      </c>
      <c r="B10" s="6" t="s">
        <v>109</v>
      </c>
      <c r="C10" s="6" t="s">
        <v>110</v>
      </c>
      <c r="D10" s="6" t="s">
        <v>111</v>
      </c>
      <c r="E10" s="6" t="s">
        <v>112</v>
      </c>
      <c r="F10" s="6" t="s">
        <v>112</v>
      </c>
      <c r="G10" s="6" t="s">
        <v>113</v>
      </c>
      <c r="H10" s="6" t="s">
        <v>114</v>
      </c>
    </row>
    <row r="11" customFormat="false" ht="23.25" hidden="false" customHeight="true" outlineLevel="0" collapsed="false">
      <c r="A11" s="5" t="s">
        <v>115</v>
      </c>
      <c r="B11" s="5" t="s">
        <v>116</v>
      </c>
      <c r="C11" s="5" t="s">
        <v>117</v>
      </c>
      <c r="D11" s="5" t="s">
        <v>118</v>
      </c>
      <c r="E11" s="5" t="s">
        <v>119</v>
      </c>
      <c r="F11" s="5" t="s">
        <v>120</v>
      </c>
      <c r="G11" s="5" t="s">
        <v>121</v>
      </c>
      <c r="H11" s="5" t="s">
        <v>122</v>
      </c>
    </row>
    <row r="12" customFormat="false" ht="15" hidden="false" customHeight="true" outlineLevel="0" collapsed="false">
      <c r="A12" s="6" t="s">
        <v>123</v>
      </c>
      <c r="B12" s="6" t="s">
        <v>124</v>
      </c>
      <c r="C12" s="6" t="s">
        <v>125</v>
      </c>
      <c r="D12" s="6" t="s">
        <v>126</v>
      </c>
      <c r="E12" s="6" t="n">
        <v>1</v>
      </c>
      <c r="F12" s="6" t="n">
        <v>6</v>
      </c>
      <c r="G12" s="6" t="s">
        <v>127</v>
      </c>
      <c r="H12" s="6" t="s">
        <v>128</v>
      </c>
    </row>
  </sheetData>
  <mergeCells count="2">
    <mergeCell ref="A1:H1"/>
    <mergeCell ref="A2:H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4"/>
    <col collapsed="false" customWidth="true" hidden="false" outlineLevel="0" max="9" min="7" style="1" width="18"/>
  </cols>
  <sheetData>
    <row r="1" customFormat="false" ht="21.75" hidden="false" customHeight="true" outlineLevel="0" collapsed="false">
      <c r="A1" s="2" t="s">
        <v>129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</row>
    <row r="5" customFormat="false" ht="15" hidden="false" customHeight="true" outlineLevel="0" collapsed="false">
      <c r="A5" s="5" t="s">
        <v>140</v>
      </c>
      <c r="B5" s="10" t="s">
        <v>141</v>
      </c>
      <c r="C5" s="10" t="s">
        <v>142</v>
      </c>
      <c r="D5" s="10" t="s">
        <v>142</v>
      </c>
      <c r="E5" s="10" t="s">
        <v>142</v>
      </c>
      <c r="F5" s="10" t="s">
        <v>142</v>
      </c>
      <c r="G5" s="10" t="s">
        <v>142</v>
      </c>
      <c r="H5" s="10" t="s">
        <v>142</v>
      </c>
      <c r="I5" s="10" t="s">
        <v>142</v>
      </c>
    </row>
    <row r="6" customFormat="false" ht="15" hidden="false" customHeight="true" outlineLevel="0" collapsed="false">
      <c r="A6" s="6" t="s">
        <v>143</v>
      </c>
      <c r="B6" s="11" t="s">
        <v>142</v>
      </c>
      <c r="C6" s="11" t="s">
        <v>142</v>
      </c>
      <c r="D6" s="11" t="s">
        <v>142</v>
      </c>
      <c r="E6" s="11" t="s">
        <v>142</v>
      </c>
      <c r="F6" s="11" t="s">
        <v>142</v>
      </c>
      <c r="G6" s="11" t="s">
        <v>142</v>
      </c>
      <c r="H6" s="11" t="s">
        <v>142</v>
      </c>
      <c r="I6" s="11" t="s">
        <v>142</v>
      </c>
    </row>
    <row r="7" customFormat="false" ht="15" hidden="false" customHeight="true" outlineLevel="0" collapsed="false">
      <c r="A7" s="5" t="s">
        <v>144</v>
      </c>
      <c r="B7" s="10" t="s">
        <v>145</v>
      </c>
      <c r="C7" s="10" t="s">
        <v>142</v>
      </c>
      <c r="D7" s="10" t="s">
        <v>142</v>
      </c>
      <c r="E7" s="10" t="s">
        <v>142</v>
      </c>
      <c r="F7" s="10" t="s">
        <v>142</v>
      </c>
      <c r="G7" s="10" t="s">
        <v>142</v>
      </c>
      <c r="H7" s="10" t="s">
        <v>142</v>
      </c>
      <c r="I7" s="10" t="s">
        <v>142</v>
      </c>
    </row>
    <row r="8" customFormat="false" ht="15" hidden="false" customHeight="true" outlineLevel="0" collapsed="false">
      <c r="A8" s="6" t="s">
        <v>146</v>
      </c>
      <c r="B8" s="11" t="s">
        <v>147</v>
      </c>
      <c r="C8" s="11" t="s">
        <v>148</v>
      </c>
      <c r="D8" s="11" t="s">
        <v>149</v>
      </c>
      <c r="E8" s="11" t="s">
        <v>148</v>
      </c>
      <c r="F8" s="11" t="s">
        <v>150</v>
      </c>
      <c r="G8" s="11" t="s">
        <v>112</v>
      </c>
      <c r="H8" s="11" t="s">
        <v>120</v>
      </c>
      <c r="I8" s="11" t="s">
        <v>148</v>
      </c>
    </row>
    <row r="9" customFormat="false" ht="23.25" hidden="false" customHeight="true" outlineLevel="0" collapsed="false">
      <c r="A9" s="5" t="s">
        <v>151</v>
      </c>
      <c r="B9" s="10" t="s">
        <v>152</v>
      </c>
      <c r="C9" s="10" t="s">
        <v>153</v>
      </c>
      <c r="D9" s="10" t="s">
        <v>153</v>
      </c>
      <c r="E9" s="10" t="s">
        <v>153</v>
      </c>
      <c r="F9" s="10" t="s">
        <v>153</v>
      </c>
      <c r="G9" s="10" t="s">
        <v>153</v>
      </c>
      <c r="H9" s="10" t="s">
        <v>153</v>
      </c>
      <c r="I9" s="10" t="s">
        <v>153</v>
      </c>
    </row>
    <row r="10" customFormat="false" ht="15" hidden="false" customHeight="true" outlineLevel="0" collapsed="false">
      <c r="A10" s="6" t="s">
        <v>154</v>
      </c>
      <c r="B10" s="11" t="s">
        <v>155</v>
      </c>
      <c r="C10" s="11" t="s">
        <v>142</v>
      </c>
      <c r="D10" s="11" t="s">
        <v>142</v>
      </c>
      <c r="E10" s="11" t="s">
        <v>142</v>
      </c>
      <c r="F10" s="11" t="s">
        <v>142</v>
      </c>
      <c r="G10" s="11" t="s">
        <v>142</v>
      </c>
      <c r="H10" s="11" t="s">
        <v>142</v>
      </c>
      <c r="I10" s="11" t="s">
        <v>142</v>
      </c>
    </row>
    <row r="11" customFormat="false" ht="15" hidden="false" customHeight="true" outlineLevel="0" collapsed="false">
      <c r="A11" s="5" t="s">
        <v>156</v>
      </c>
      <c r="B11" s="10"/>
      <c r="C11" s="10" t="s">
        <v>142</v>
      </c>
      <c r="D11" s="10" t="s">
        <v>142</v>
      </c>
      <c r="E11" s="10" t="s">
        <v>142</v>
      </c>
      <c r="F11" s="10" t="s">
        <v>142</v>
      </c>
      <c r="G11" s="10" t="s">
        <v>142</v>
      </c>
      <c r="H11" s="10" t="s">
        <v>142</v>
      </c>
      <c r="I11" s="10" t="s">
        <v>142</v>
      </c>
    </row>
    <row r="12" customFormat="false" ht="15" hidden="false" customHeight="true" outlineLevel="0" collapsed="false">
      <c r="A12" s="6" t="s">
        <v>157</v>
      </c>
      <c r="B12" s="11"/>
      <c r="C12" s="11"/>
      <c r="D12" s="11" t="s">
        <v>142</v>
      </c>
      <c r="E12" s="11"/>
      <c r="F12" s="11" t="s">
        <v>142</v>
      </c>
      <c r="G12" s="11" t="s">
        <v>142</v>
      </c>
      <c r="H12" s="11" t="s">
        <v>142</v>
      </c>
      <c r="I12" s="11"/>
    </row>
    <row r="13" customFormat="false" ht="15" hidden="false" customHeight="true" outlineLevel="0" collapsed="false">
      <c r="A13" s="5" t="s">
        <v>158</v>
      </c>
      <c r="B13" s="10" t="s">
        <v>159</v>
      </c>
      <c r="C13" s="10" t="s">
        <v>159</v>
      </c>
      <c r="D13" s="10" t="s">
        <v>160</v>
      </c>
      <c r="E13" s="10" t="s">
        <v>159</v>
      </c>
      <c r="F13" s="10" t="s">
        <v>161</v>
      </c>
      <c r="G13" s="10" t="s">
        <v>112</v>
      </c>
      <c r="H13" s="10" t="s">
        <v>119</v>
      </c>
      <c r="I13" s="10" t="s">
        <v>159</v>
      </c>
    </row>
    <row r="14" customFormat="false" ht="15" hidden="false" customHeight="true" outlineLevel="0" collapsed="false">
      <c r="A14" s="6" t="s">
        <v>162</v>
      </c>
      <c r="B14" s="11"/>
      <c r="C14" s="11" t="s">
        <v>142</v>
      </c>
      <c r="D14" s="11" t="s">
        <v>142</v>
      </c>
      <c r="E14" s="11" t="s">
        <v>142</v>
      </c>
      <c r="F14" s="11" t="s">
        <v>142</v>
      </c>
      <c r="G14" s="11" t="s">
        <v>142</v>
      </c>
      <c r="H14" s="11"/>
      <c r="I14" s="11" t="s">
        <v>142</v>
      </c>
    </row>
    <row r="15" customFormat="false" ht="15" hidden="false" customHeight="true" outlineLevel="0" collapsed="false">
      <c r="A15" s="5" t="s">
        <v>163</v>
      </c>
      <c r="B15" s="10" t="s">
        <v>142</v>
      </c>
      <c r="C15" s="10" t="s">
        <v>142</v>
      </c>
      <c r="D15" s="10" t="s">
        <v>142</v>
      </c>
      <c r="E15" s="10" t="s">
        <v>142</v>
      </c>
      <c r="F15" s="10" t="s">
        <v>142</v>
      </c>
      <c r="G15" s="10" t="s">
        <v>142</v>
      </c>
      <c r="H15" s="10" t="s">
        <v>142</v>
      </c>
      <c r="I15" s="10" t="s">
        <v>142</v>
      </c>
    </row>
    <row r="16" customFormat="false" ht="15" hidden="false" customHeight="true" outlineLevel="0" collapsed="false">
      <c r="A16" s="6" t="s">
        <v>164</v>
      </c>
      <c r="B16" s="11"/>
      <c r="C16" s="11" t="s">
        <v>165</v>
      </c>
      <c r="D16" s="11" t="s">
        <v>166</v>
      </c>
      <c r="E16" s="11" t="s">
        <v>167</v>
      </c>
      <c r="F16" s="11" t="s">
        <v>168</v>
      </c>
      <c r="G16" s="11" t="s">
        <v>169</v>
      </c>
      <c r="H16" s="11" t="s">
        <v>170</v>
      </c>
      <c r="I16" s="11" t="s">
        <v>167</v>
      </c>
    </row>
    <row r="17" customFormat="false" ht="15" hidden="false" customHeight="true" outlineLevel="0" collapsed="false">
      <c r="A17" s="5" t="s">
        <v>171</v>
      </c>
      <c r="B17" s="10"/>
      <c r="C17" s="10"/>
      <c r="D17" s="10" t="s">
        <v>142</v>
      </c>
      <c r="E17" s="10"/>
      <c r="F17" s="10" t="s">
        <v>142</v>
      </c>
      <c r="G17" s="10" t="s">
        <v>142</v>
      </c>
      <c r="H17" s="10"/>
      <c r="I17" s="10"/>
    </row>
    <row r="18" customFormat="false" ht="15" hidden="false" customHeight="true" outlineLevel="0" collapsed="false">
      <c r="A18" s="6" t="s">
        <v>172</v>
      </c>
      <c r="B18" s="11"/>
      <c r="C18" s="11"/>
      <c r="D18" s="11"/>
      <c r="E18" s="11"/>
      <c r="F18" s="11" t="s">
        <v>142</v>
      </c>
      <c r="G18" s="11" t="s">
        <v>142</v>
      </c>
      <c r="H18" s="11" t="s">
        <v>142</v>
      </c>
      <c r="I18" s="11"/>
    </row>
    <row r="19" customFormat="false" ht="15" hidden="false" customHeight="true" outlineLevel="0" collapsed="false">
      <c r="A19" s="5" t="s">
        <v>173</v>
      </c>
      <c r="B19" s="10" t="s">
        <v>142</v>
      </c>
      <c r="C19" s="10" t="s">
        <v>142</v>
      </c>
      <c r="D19" s="10" t="s">
        <v>142</v>
      </c>
      <c r="E19" s="10" t="s">
        <v>142</v>
      </c>
      <c r="F19" s="10" t="s">
        <v>142</v>
      </c>
      <c r="G19" s="10" t="s">
        <v>142</v>
      </c>
      <c r="H19" s="10" t="s">
        <v>142</v>
      </c>
      <c r="I19" s="10" t="s">
        <v>142</v>
      </c>
    </row>
    <row r="20" customFormat="false" ht="15" hidden="false" customHeight="true" outlineLevel="0" collapsed="false">
      <c r="A20" s="6" t="s">
        <v>174</v>
      </c>
      <c r="B20" s="11"/>
      <c r="C20" s="11"/>
      <c r="D20" s="11"/>
      <c r="E20" s="11"/>
      <c r="F20" s="11"/>
      <c r="G20" s="11" t="s">
        <v>142</v>
      </c>
      <c r="H20" s="11"/>
      <c r="I20" s="11"/>
    </row>
    <row r="21" customFormat="false" ht="15" hidden="false" customHeight="true" outlineLevel="0" collapsed="false">
      <c r="A21" s="5" t="s">
        <v>175</v>
      </c>
      <c r="B21" s="10"/>
      <c r="C21" s="10"/>
      <c r="D21" s="10"/>
      <c r="E21" s="10"/>
      <c r="F21" s="10"/>
      <c r="G21" s="10"/>
      <c r="H21" s="10" t="s">
        <v>142</v>
      </c>
      <c r="I21" s="10"/>
    </row>
    <row r="22" customFormat="false" ht="15" hidden="false" customHeight="true" outlineLevel="0" collapsed="false">
      <c r="A22" s="6" t="s">
        <v>176</v>
      </c>
      <c r="B22" s="11"/>
      <c r="C22" s="11"/>
      <c r="D22" s="11" t="s">
        <v>142</v>
      </c>
      <c r="E22" s="11"/>
      <c r="F22" s="11" t="s">
        <v>142</v>
      </c>
      <c r="G22" s="11" t="s">
        <v>142</v>
      </c>
      <c r="H22" s="11" t="s">
        <v>142</v>
      </c>
      <c r="I22" s="11"/>
    </row>
    <row r="23" customFormat="false" ht="15" hidden="false" customHeight="true" outlineLevel="0" collapsed="false">
      <c r="A23" s="5" t="s">
        <v>177</v>
      </c>
      <c r="B23" s="10"/>
      <c r="C23" s="10"/>
      <c r="D23" s="10"/>
      <c r="E23" s="10"/>
      <c r="F23" s="10" t="s">
        <v>142</v>
      </c>
      <c r="G23" s="10" t="s">
        <v>142</v>
      </c>
      <c r="H23" s="10" t="s">
        <v>142</v>
      </c>
      <c r="I23" s="10"/>
    </row>
  </sheetData>
  <mergeCells count="2">
    <mergeCell ref="A1:I1"/>
    <mergeCell ref="A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32"/>
  </cols>
  <sheetData>
    <row r="1" customFormat="false" ht="21.75" hidden="false" customHeight="true" outlineLevel="0" collapsed="false">
      <c r="A1" s="2" t="s">
        <v>178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179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4" t="s">
        <v>180</v>
      </c>
      <c r="B4" s="4" t="s">
        <v>181</v>
      </c>
      <c r="C4" s="4" t="s">
        <v>182</v>
      </c>
      <c r="D4" s="4" t="s">
        <v>183</v>
      </c>
      <c r="E4" s="4" t="s">
        <v>184</v>
      </c>
      <c r="F4" s="4" t="s">
        <v>185</v>
      </c>
      <c r="G4" s="4" t="s">
        <v>186</v>
      </c>
      <c r="H4" s="4" t="s">
        <v>187</v>
      </c>
      <c r="I4" s="4" t="s">
        <v>10</v>
      </c>
    </row>
    <row r="5" customFormat="false" ht="34.5" hidden="false" customHeight="true" outlineLevel="0" collapsed="false">
      <c r="A5" s="5" t="s">
        <v>188</v>
      </c>
      <c r="B5" s="5" t="s">
        <v>189</v>
      </c>
      <c r="C5" s="5" t="s">
        <v>190</v>
      </c>
      <c r="D5" s="5" t="s">
        <v>191</v>
      </c>
      <c r="E5" s="5" t="s">
        <v>191</v>
      </c>
      <c r="F5" s="5" t="s">
        <v>191</v>
      </c>
      <c r="G5" s="5" t="s">
        <v>192</v>
      </c>
      <c r="H5" s="5" t="s">
        <v>191</v>
      </c>
      <c r="I5" s="5" t="s">
        <v>193</v>
      </c>
    </row>
    <row r="6" customFormat="false" ht="15" hidden="false" customHeight="true" outlineLevel="0" collapsed="false">
      <c r="A6" s="6" t="s">
        <v>194</v>
      </c>
      <c r="B6" s="6" t="s">
        <v>189</v>
      </c>
      <c r="C6" s="6" t="s">
        <v>190</v>
      </c>
      <c r="D6" s="6" t="s">
        <v>191</v>
      </c>
      <c r="E6" s="6" t="s">
        <v>191</v>
      </c>
      <c r="F6" s="6" t="s">
        <v>191</v>
      </c>
      <c r="G6" s="6" t="s">
        <v>192</v>
      </c>
      <c r="H6" s="6" t="s">
        <v>191</v>
      </c>
      <c r="I6" s="6" t="s">
        <v>195</v>
      </c>
    </row>
    <row r="7" customFormat="false" ht="15" hidden="false" customHeight="true" outlineLevel="0" collapsed="false">
      <c r="A7" s="5" t="s">
        <v>196</v>
      </c>
      <c r="B7" s="5" t="s">
        <v>189</v>
      </c>
      <c r="C7" s="5" t="s">
        <v>190</v>
      </c>
      <c r="D7" s="5" t="s">
        <v>191</v>
      </c>
      <c r="E7" s="5" t="s">
        <v>191</v>
      </c>
      <c r="F7" s="5" t="s">
        <v>191</v>
      </c>
      <c r="G7" s="5" t="s">
        <v>192</v>
      </c>
      <c r="H7" s="5" t="s">
        <v>191</v>
      </c>
      <c r="I7" s="5" t="s">
        <v>197</v>
      </c>
    </row>
    <row r="8" customFormat="false" ht="15" hidden="false" customHeight="true" outlineLevel="0" collapsed="false">
      <c r="A8" s="6" t="s">
        <v>198</v>
      </c>
      <c r="B8" s="6" t="s">
        <v>189</v>
      </c>
      <c r="C8" s="6" t="s">
        <v>199</v>
      </c>
      <c r="D8" s="6" t="s">
        <v>191</v>
      </c>
      <c r="E8" s="6" t="s">
        <v>191</v>
      </c>
      <c r="F8" s="6" t="s">
        <v>191</v>
      </c>
      <c r="G8" s="6" t="s">
        <v>191</v>
      </c>
      <c r="H8" s="6" t="s">
        <v>191</v>
      </c>
      <c r="I8" s="6" t="s">
        <v>200</v>
      </c>
    </row>
    <row r="9" customFormat="false" ht="15" hidden="false" customHeight="true" outlineLevel="0" collapsed="false">
      <c r="A9" s="5" t="s">
        <v>201</v>
      </c>
      <c r="B9" s="5" t="s">
        <v>189</v>
      </c>
      <c r="C9" s="5" t="s">
        <v>202</v>
      </c>
      <c r="D9" s="5" t="s">
        <v>191</v>
      </c>
      <c r="E9" s="5" t="s">
        <v>191</v>
      </c>
      <c r="F9" s="5" t="s">
        <v>191</v>
      </c>
      <c r="G9" s="5" t="s">
        <v>203</v>
      </c>
      <c r="H9" s="5" t="s">
        <v>191</v>
      </c>
      <c r="I9" s="5" t="s">
        <v>204</v>
      </c>
    </row>
    <row r="10" customFormat="false" ht="15" hidden="false" customHeight="true" outlineLevel="0" collapsed="false">
      <c r="A10" s="6" t="s">
        <v>205</v>
      </c>
      <c r="B10" s="6" t="s">
        <v>189</v>
      </c>
      <c r="C10" s="6" t="s">
        <v>206</v>
      </c>
      <c r="D10" s="6" t="s">
        <v>191</v>
      </c>
      <c r="E10" s="6" t="s">
        <v>191</v>
      </c>
      <c r="F10" s="6" t="s">
        <v>207</v>
      </c>
      <c r="G10" s="6" t="s">
        <v>208</v>
      </c>
      <c r="H10" s="6" t="s">
        <v>191</v>
      </c>
      <c r="I10" s="6" t="s">
        <v>209</v>
      </c>
    </row>
    <row r="11" customFormat="false" ht="15" hidden="false" customHeight="true" outlineLevel="0" collapsed="false">
      <c r="A11" s="5" t="s">
        <v>210</v>
      </c>
      <c r="B11" s="5" t="s">
        <v>189</v>
      </c>
      <c r="C11" s="5" t="s">
        <v>211</v>
      </c>
      <c r="D11" s="5" t="s">
        <v>191</v>
      </c>
      <c r="E11" s="5" t="s">
        <v>191</v>
      </c>
      <c r="F11" s="5" t="s">
        <v>191</v>
      </c>
      <c r="G11" s="5" t="s">
        <v>192</v>
      </c>
      <c r="H11" s="5" t="s">
        <v>191</v>
      </c>
      <c r="I11" s="5" t="s">
        <v>212</v>
      </c>
    </row>
    <row r="12" customFormat="false" ht="15" hidden="false" customHeight="true" outlineLevel="0" collapsed="false">
      <c r="A12" s="6" t="s">
        <v>213</v>
      </c>
      <c r="B12" s="6" t="s">
        <v>189</v>
      </c>
      <c r="C12" s="6" t="s">
        <v>211</v>
      </c>
      <c r="D12" s="6" t="s">
        <v>191</v>
      </c>
      <c r="E12" s="6" t="s">
        <v>191</v>
      </c>
      <c r="F12" s="6" t="s">
        <v>191</v>
      </c>
      <c r="G12" s="6" t="s">
        <v>192</v>
      </c>
      <c r="H12" s="6" t="s">
        <v>191</v>
      </c>
      <c r="I12" s="6" t="s">
        <v>212</v>
      </c>
    </row>
    <row r="13" customFormat="false" ht="15" hidden="false" customHeight="true" outlineLevel="0" collapsed="false">
      <c r="A13" s="5" t="s">
        <v>214</v>
      </c>
      <c r="B13" s="5" t="s">
        <v>215</v>
      </c>
      <c r="C13" s="5" t="s">
        <v>216</v>
      </c>
      <c r="D13" s="5" t="s">
        <v>208</v>
      </c>
      <c r="E13" s="5" t="s">
        <v>191</v>
      </c>
      <c r="F13" s="5" t="s">
        <v>217</v>
      </c>
      <c r="G13" s="5" t="s">
        <v>191</v>
      </c>
      <c r="H13" s="5" t="s">
        <v>191</v>
      </c>
      <c r="I13" s="5" t="s">
        <v>218</v>
      </c>
    </row>
    <row r="14" customFormat="false" ht="15" hidden="false" customHeight="true" outlineLevel="0" collapsed="false">
      <c r="A14" s="6" t="s">
        <v>219</v>
      </c>
      <c r="B14" s="6" t="s">
        <v>215</v>
      </c>
      <c r="C14" s="6" t="s">
        <v>220</v>
      </c>
      <c r="D14" s="6" t="s">
        <v>221</v>
      </c>
      <c r="E14" s="6" t="s">
        <v>191</v>
      </c>
      <c r="F14" s="6" t="s">
        <v>191</v>
      </c>
      <c r="G14" s="6" t="s">
        <v>191</v>
      </c>
      <c r="H14" s="6" t="s">
        <v>191</v>
      </c>
      <c r="I14" s="6" t="s">
        <v>222</v>
      </c>
    </row>
    <row r="15" customFormat="false" ht="15" hidden="false" customHeight="true" outlineLevel="0" collapsed="false">
      <c r="A15" s="5" t="s">
        <v>223</v>
      </c>
      <c r="B15" s="5" t="s">
        <v>215</v>
      </c>
      <c r="C15" s="5" t="s">
        <v>224</v>
      </c>
      <c r="D15" s="5" t="s">
        <v>225</v>
      </c>
      <c r="E15" s="5" t="s">
        <v>191</v>
      </c>
      <c r="F15" s="5" t="s">
        <v>191</v>
      </c>
      <c r="G15" s="5" t="s">
        <v>191</v>
      </c>
      <c r="H15" s="5" t="s">
        <v>191</v>
      </c>
      <c r="I15" s="5" t="s">
        <v>226</v>
      </c>
    </row>
    <row r="16" customFormat="false" ht="15" hidden="false" customHeight="true" outlineLevel="0" collapsed="false">
      <c r="A16" s="6" t="s">
        <v>227</v>
      </c>
      <c r="B16" s="6" t="s">
        <v>215</v>
      </c>
      <c r="C16" s="6" t="s">
        <v>220</v>
      </c>
      <c r="D16" s="6" t="s">
        <v>221</v>
      </c>
      <c r="E16" s="6" t="s">
        <v>191</v>
      </c>
      <c r="F16" s="6" t="s">
        <v>191</v>
      </c>
      <c r="G16" s="6" t="s">
        <v>191</v>
      </c>
      <c r="H16" s="6" t="s">
        <v>191</v>
      </c>
      <c r="I16" s="6" t="s">
        <v>228</v>
      </c>
    </row>
    <row r="17" customFormat="false" ht="23.25" hidden="false" customHeight="true" outlineLevel="0" collapsed="false">
      <c r="A17" s="5" t="s">
        <v>229</v>
      </c>
      <c r="B17" s="5" t="s">
        <v>215</v>
      </c>
      <c r="C17" s="5" t="s">
        <v>230</v>
      </c>
      <c r="D17" s="5" t="s">
        <v>231</v>
      </c>
      <c r="E17" s="5" t="s">
        <v>191</v>
      </c>
      <c r="F17" s="5" t="s">
        <v>232</v>
      </c>
      <c r="G17" s="5" t="s">
        <v>191</v>
      </c>
      <c r="H17" s="5" t="s">
        <v>191</v>
      </c>
      <c r="I17" s="5" t="s">
        <v>233</v>
      </c>
    </row>
    <row r="18" customFormat="false" ht="15" hidden="false" customHeight="true" outlineLevel="0" collapsed="false">
      <c r="A18" s="6" t="s">
        <v>234</v>
      </c>
      <c r="B18" s="6" t="s">
        <v>215</v>
      </c>
      <c r="C18" s="6" t="s">
        <v>235</v>
      </c>
      <c r="D18" s="6" t="s">
        <v>221</v>
      </c>
      <c r="E18" s="6" t="s">
        <v>191</v>
      </c>
      <c r="F18" s="6" t="s">
        <v>191</v>
      </c>
      <c r="G18" s="6" t="s">
        <v>191</v>
      </c>
      <c r="H18" s="6" t="s">
        <v>191</v>
      </c>
      <c r="I18" s="6" t="s">
        <v>236</v>
      </c>
    </row>
    <row r="19" customFormat="false" ht="15" hidden="false" customHeight="true" outlineLevel="0" collapsed="false">
      <c r="A19" s="5" t="s">
        <v>237</v>
      </c>
      <c r="B19" s="5" t="s">
        <v>215</v>
      </c>
      <c r="C19" s="5" t="s">
        <v>238</v>
      </c>
      <c r="D19" s="5" t="s">
        <v>208</v>
      </c>
      <c r="E19" s="5" t="s">
        <v>191</v>
      </c>
      <c r="F19" s="5" t="s">
        <v>232</v>
      </c>
      <c r="G19" s="5" t="s">
        <v>191</v>
      </c>
      <c r="H19" s="5" t="s">
        <v>191</v>
      </c>
      <c r="I19" s="5" t="s">
        <v>239</v>
      </c>
    </row>
    <row r="20" customFormat="false" ht="15" hidden="false" customHeight="true" outlineLevel="0" collapsed="false">
      <c r="A20" s="6" t="s">
        <v>240</v>
      </c>
      <c r="B20" s="6" t="s">
        <v>215</v>
      </c>
      <c r="C20" s="6" t="s">
        <v>241</v>
      </c>
      <c r="D20" s="6" t="s">
        <v>191</v>
      </c>
      <c r="E20" s="6" t="s">
        <v>191</v>
      </c>
      <c r="F20" s="6" t="s">
        <v>191</v>
      </c>
      <c r="G20" s="6" t="s">
        <v>191</v>
      </c>
      <c r="H20" s="6" t="s">
        <v>191</v>
      </c>
      <c r="I20" s="6" t="s">
        <v>242</v>
      </c>
    </row>
    <row r="21" customFormat="false" ht="15" hidden="false" customHeight="true" outlineLevel="0" collapsed="false">
      <c r="A21" s="5" t="s">
        <v>243</v>
      </c>
      <c r="B21" s="5" t="s">
        <v>244</v>
      </c>
      <c r="C21" s="5" t="s">
        <v>245</v>
      </c>
      <c r="D21" s="5" t="s">
        <v>246</v>
      </c>
      <c r="E21" s="5" t="s">
        <v>191</v>
      </c>
      <c r="F21" s="5" t="s">
        <v>247</v>
      </c>
      <c r="G21" s="5" t="s">
        <v>192</v>
      </c>
      <c r="H21" s="5" t="s">
        <v>191</v>
      </c>
      <c r="I21" s="5" t="s">
        <v>248</v>
      </c>
    </row>
    <row r="22" customFormat="false" ht="15" hidden="false" customHeight="true" outlineLevel="0" collapsed="false">
      <c r="A22" s="6" t="s">
        <v>249</v>
      </c>
      <c r="B22" s="6" t="s">
        <v>244</v>
      </c>
      <c r="C22" s="6" t="s">
        <v>250</v>
      </c>
      <c r="D22" s="6" t="s">
        <v>246</v>
      </c>
      <c r="E22" s="6" t="s">
        <v>191</v>
      </c>
      <c r="F22" s="6" t="s">
        <v>247</v>
      </c>
      <c r="G22" s="6" t="s">
        <v>191</v>
      </c>
      <c r="H22" s="6" t="s">
        <v>191</v>
      </c>
      <c r="I22" s="6" t="s">
        <v>251</v>
      </c>
    </row>
    <row r="23" customFormat="false" ht="15" hidden="false" customHeight="true" outlineLevel="0" collapsed="false">
      <c r="A23" s="5" t="s">
        <v>252</v>
      </c>
      <c r="B23" s="5" t="s">
        <v>215</v>
      </c>
      <c r="C23" s="5" t="s">
        <v>253</v>
      </c>
      <c r="D23" s="5" t="s">
        <v>246</v>
      </c>
      <c r="E23" s="5" t="s">
        <v>191</v>
      </c>
      <c r="F23" s="5" t="s">
        <v>232</v>
      </c>
      <c r="G23" s="5" t="s">
        <v>191</v>
      </c>
      <c r="H23" s="5" t="s">
        <v>191</v>
      </c>
      <c r="I23" s="5" t="s">
        <v>254</v>
      </c>
    </row>
    <row r="24" customFormat="false" ht="15" hidden="false" customHeight="true" outlineLevel="0" collapsed="false">
      <c r="A24" s="6" t="s">
        <v>255</v>
      </c>
      <c r="B24" s="6" t="s">
        <v>215</v>
      </c>
      <c r="C24" s="6" t="s">
        <v>256</v>
      </c>
      <c r="D24" s="6" t="s">
        <v>191</v>
      </c>
      <c r="E24" s="6" t="s">
        <v>191</v>
      </c>
      <c r="F24" s="6" t="s">
        <v>232</v>
      </c>
      <c r="G24" s="6" t="s">
        <v>191</v>
      </c>
      <c r="H24" s="6" t="s">
        <v>191</v>
      </c>
      <c r="I24" s="6" t="s">
        <v>257</v>
      </c>
    </row>
    <row r="27" customFormat="false" ht="23.25" hidden="false" customHeight="true" outlineLevel="0" collapsed="false">
      <c r="A27" s="12" t="s">
        <v>258</v>
      </c>
      <c r="B27" s="13" t="s">
        <v>189</v>
      </c>
      <c r="C27" s="13" t="s">
        <v>216</v>
      </c>
      <c r="D27" s="13" t="s">
        <v>208</v>
      </c>
      <c r="E27" s="13" t="s">
        <v>259</v>
      </c>
      <c r="F27" s="13" t="s">
        <v>260</v>
      </c>
      <c r="G27" s="13" t="s">
        <v>261</v>
      </c>
      <c r="H27" s="13" t="s">
        <v>262</v>
      </c>
      <c r="I27" s="13" t="s">
        <v>263</v>
      </c>
    </row>
  </sheetData>
  <mergeCells count="2">
    <mergeCell ref="A1:I1"/>
    <mergeCell ref="A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42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21.75" hidden="false" customHeight="true" outlineLevel="0" collapsed="false">
      <c r="A1" s="2" t="s">
        <v>264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265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4" t="s">
        <v>266</v>
      </c>
      <c r="D4" s="14" t="s">
        <v>267</v>
      </c>
    </row>
    <row r="5" customFormat="false" ht="15" hidden="false" customHeight="true" outlineLevel="0" collapsed="false">
      <c r="A5" s="15" t="s">
        <v>268</v>
      </c>
      <c r="B5" s="16" t="n">
        <v>9.9</v>
      </c>
      <c r="D5" s="15" t="s">
        <v>269</v>
      </c>
      <c r="E5" s="16" t="n">
        <v>6</v>
      </c>
    </row>
    <row r="6" customFormat="false" ht="15" hidden="false" customHeight="true" outlineLevel="0" collapsed="false">
      <c r="A6" s="15" t="s">
        <v>270</v>
      </c>
      <c r="B6" s="16" t="n">
        <v>14.9</v>
      </c>
      <c r="D6" s="15" t="s">
        <v>271</v>
      </c>
      <c r="E6" s="17" t="n">
        <v>200</v>
      </c>
    </row>
    <row r="7" customFormat="false" ht="15" hidden="false" customHeight="true" outlineLevel="0" collapsed="false">
      <c r="A7" s="15" t="s">
        <v>272</v>
      </c>
      <c r="B7" s="16" t="n">
        <v>24.9</v>
      </c>
      <c r="D7" s="15" t="s">
        <v>273</v>
      </c>
      <c r="E7" s="17" t="n">
        <v>5</v>
      </c>
    </row>
    <row r="8" customFormat="false" ht="15" hidden="false" customHeight="true" outlineLevel="0" collapsed="false">
      <c r="A8" s="15" t="s">
        <v>274</v>
      </c>
      <c r="B8" s="17" t="n">
        <v>29</v>
      </c>
      <c r="D8" s="15" t="s">
        <v>275</v>
      </c>
      <c r="E8" s="17" t="n">
        <v>22</v>
      </c>
    </row>
    <row r="9" customFormat="false" ht="15" hidden="false" customHeight="true" outlineLevel="0" collapsed="false">
      <c r="A9" s="15" t="s">
        <v>276</v>
      </c>
      <c r="B9" s="16" t="n">
        <v>11.5</v>
      </c>
      <c r="D9" s="15" t="s">
        <v>277</v>
      </c>
      <c r="E9" s="17" t="n">
        <v>50</v>
      </c>
    </row>
    <row r="10" customFormat="false" ht="15" hidden="false" customHeight="true" outlineLevel="0" collapsed="false">
      <c r="A10" s="15" t="s">
        <v>278</v>
      </c>
      <c r="B10" s="16" t="n">
        <v>0.85</v>
      </c>
      <c r="D10" s="15" t="s">
        <v>279</v>
      </c>
      <c r="E10" s="17" t="n">
        <v>2</v>
      </c>
    </row>
    <row r="11" customFormat="false" ht="15" hidden="false" customHeight="true" outlineLevel="0" collapsed="false">
      <c r="A11" s="15" t="s">
        <v>280</v>
      </c>
      <c r="B11" s="16" t="n">
        <v>0.2</v>
      </c>
      <c r="D11" s="15" t="s">
        <v>281</v>
      </c>
      <c r="E11" s="17" t="n">
        <v>1500</v>
      </c>
    </row>
    <row r="12" customFormat="false" ht="15" hidden="false" customHeight="true" outlineLevel="0" collapsed="false">
      <c r="A12" s="15" t="s">
        <v>282</v>
      </c>
      <c r="B12" s="18" t="n">
        <v>0.029</v>
      </c>
    </row>
    <row r="13" customFormat="false" ht="15" hidden="false" customHeight="true" outlineLevel="0" collapsed="false">
      <c r="A13" s="15" t="s">
        <v>283</v>
      </c>
      <c r="B13" s="16" t="n">
        <v>0.3</v>
      </c>
    </row>
    <row r="14" customFormat="false" ht="15" hidden="false" customHeight="true" outlineLevel="0" collapsed="false">
      <c r="A14" s="15" t="s">
        <v>284</v>
      </c>
      <c r="B14" s="17" t="n">
        <v>22</v>
      </c>
      <c r="D14" s="14" t="s">
        <v>285</v>
      </c>
    </row>
    <row r="15" customFormat="false" ht="15" hidden="false" customHeight="true" outlineLevel="0" collapsed="false">
      <c r="A15" s="15" t="s">
        <v>286</v>
      </c>
      <c r="B15" s="19" t="n">
        <v>0.04</v>
      </c>
      <c r="D15" s="15" t="s">
        <v>287</v>
      </c>
      <c r="E15" s="8" t="n">
        <f aca="false">B9*12*E11</f>
        <v>207000</v>
      </c>
    </row>
    <row r="16" customFormat="false" ht="15" hidden="false" customHeight="true" outlineLevel="0" collapsed="false">
      <c r="A16" s="15" t="s">
        <v>288</v>
      </c>
      <c r="B16" s="20" t="n">
        <f aca="false">1/B15</f>
        <v>25</v>
      </c>
      <c r="D16" s="15" t="s">
        <v>289</v>
      </c>
      <c r="E16" s="8" t="n">
        <f aca="false">E5*E6*E7*12</f>
        <v>72000</v>
      </c>
    </row>
    <row r="17" customFormat="false" ht="15" hidden="false" customHeight="true" outlineLevel="0" collapsed="false">
      <c r="D17" s="15" t="s">
        <v>290</v>
      </c>
      <c r="E17" s="8" t="n">
        <f aca="false">E8*E9*E10*12</f>
        <v>26400</v>
      </c>
    </row>
    <row r="18" customFormat="false" ht="15" hidden="false" customHeight="true" outlineLevel="0" collapsed="false">
      <c r="A18" s="14" t="s">
        <v>291</v>
      </c>
      <c r="D18" s="15" t="s">
        <v>292</v>
      </c>
      <c r="E18" s="8" t="n">
        <f aca="false">E15+E16+E17</f>
        <v>305400</v>
      </c>
    </row>
    <row r="19" customFormat="false" ht="15" hidden="false" customHeight="true" outlineLevel="0" collapsed="false">
      <c r="A19" s="15" t="s">
        <v>293</v>
      </c>
      <c r="B19" s="21" t="n">
        <f aca="false">B10+B11+B13+B9*B12</f>
        <v>1.6835</v>
      </c>
      <c r="D19" s="15" t="s">
        <v>294</v>
      </c>
      <c r="E19" s="8" t="n">
        <f aca="false">B19*E11*12+(E18*0.2)</f>
        <v>91383</v>
      </c>
    </row>
    <row r="20" customFormat="false" ht="15" hidden="false" customHeight="true" outlineLevel="0" collapsed="false">
      <c r="A20" s="15" t="s">
        <v>295</v>
      </c>
      <c r="B20" s="21" t="n">
        <f aca="false">B9-B19</f>
        <v>9.8165</v>
      </c>
      <c r="D20" s="15" t="s">
        <v>296</v>
      </c>
      <c r="E20" s="8" t="n">
        <f aca="false">E18-E19</f>
        <v>214017</v>
      </c>
    </row>
    <row r="21" customFormat="false" ht="15" hidden="false" customHeight="true" outlineLevel="0" collapsed="false">
      <c r="A21" s="15" t="s">
        <v>297</v>
      </c>
      <c r="B21" s="22" t="n">
        <f aca="false">B20/B9</f>
        <v>0.853608695652174</v>
      </c>
      <c r="D21" s="15" t="s">
        <v>298</v>
      </c>
      <c r="E21" s="22" t="n">
        <f aca="false">E20/E18</f>
        <v>0.700776031434185</v>
      </c>
    </row>
    <row r="22" customFormat="false" ht="15" hidden="false" customHeight="true" outlineLevel="0" collapsed="false">
      <c r="A22" s="15" t="s">
        <v>299</v>
      </c>
      <c r="B22" s="21" t="n">
        <f aca="false">B20*B16</f>
        <v>245.4125</v>
      </c>
    </row>
    <row r="23" customFormat="false" ht="15" hidden="false" customHeight="true" outlineLevel="0" collapsed="false">
      <c r="A23" s="15" t="s">
        <v>300</v>
      </c>
      <c r="B23" s="23" t="n">
        <f aca="false">B22/B14</f>
        <v>11.1551136363636</v>
      </c>
    </row>
    <row r="24" customFormat="false" ht="15" hidden="false" customHeight="true" outlineLevel="0" collapsed="false">
      <c r="A24" s="15" t="s">
        <v>301</v>
      </c>
      <c r="B24" s="21" t="n">
        <f aca="false">B14/B20</f>
        <v>2.24112463709061</v>
      </c>
    </row>
    <row r="27" customFormat="false" ht="15" hidden="false" customHeight="true" outlineLevel="0" collapsed="false">
      <c r="A27" s="14" t="s">
        <v>302</v>
      </c>
    </row>
    <row r="28" customFormat="false" ht="15" hidden="false" customHeight="true" outlineLevel="0" collapsed="false">
      <c r="A28" s="24" t="s">
        <v>303</v>
      </c>
      <c r="B28" s="24"/>
      <c r="C28" s="24"/>
      <c r="D28" s="24"/>
      <c r="E28" s="24"/>
      <c r="F28" s="24"/>
    </row>
    <row r="29" customFormat="false" ht="15" hidden="false" customHeight="true" outlineLevel="0" collapsed="false">
      <c r="A29" s="24" t="s">
        <v>304</v>
      </c>
      <c r="B29" s="24"/>
      <c r="C29" s="24"/>
      <c r="D29" s="24"/>
      <c r="E29" s="24"/>
      <c r="F29" s="24"/>
    </row>
    <row r="30" customFormat="false" ht="15" hidden="false" customHeight="true" outlineLevel="0" collapsed="false">
      <c r="A30" s="24" t="s">
        <v>305</v>
      </c>
      <c r="B30" s="24"/>
      <c r="C30" s="24"/>
      <c r="D30" s="24"/>
      <c r="E30" s="24"/>
      <c r="F30" s="24"/>
    </row>
    <row r="31" customFormat="false" ht="15" hidden="false" customHeight="true" outlineLevel="0" collapsed="false">
      <c r="A31" s="24" t="s">
        <v>306</v>
      </c>
      <c r="B31" s="24"/>
      <c r="C31" s="24"/>
      <c r="D31" s="24"/>
      <c r="E31" s="24"/>
      <c r="F31" s="24"/>
    </row>
    <row r="32" customFormat="false" ht="15" hidden="false" customHeight="true" outlineLevel="0" collapsed="false">
      <c r="A32" s="24" t="s">
        <v>307</v>
      </c>
      <c r="B32" s="24"/>
      <c r="C32" s="24"/>
      <c r="D32" s="24"/>
      <c r="E32" s="24"/>
      <c r="F32" s="24"/>
    </row>
  </sheetData>
  <mergeCells count="7">
    <mergeCell ref="A1:F1"/>
    <mergeCell ref="A2:F2"/>
    <mergeCell ref="A28:F28"/>
    <mergeCell ref="A29:F29"/>
    <mergeCell ref="A30:F30"/>
    <mergeCell ref="A31:F31"/>
    <mergeCell ref="A32:F3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6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38"/>
  </cols>
  <sheetData>
    <row r="1" customFormat="false" ht="21.75" hidden="false" customHeight="true" outlineLevel="0" collapsed="false">
      <c r="A1" s="2" t="s">
        <v>308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309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310</v>
      </c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  <c r="G4" s="4" t="s">
        <v>316</v>
      </c>
      <c r="H4" s="4" t="s">
        <v>10</v>
      </c>
    </row>
    <row r="5" customFormat="false" ht="34.5" hidden="false" customHeight="true" outlineLevel="0" collapsed="false">
      <c r="A5" s="5" t="s">
        <v>317</v>
      </c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  <c r="G5" s="5" t="s">
        <v>323</v>
      </c>
      <c r="H5" s="5" t="s">
        <v>324</v>
      </c>
    </row>
    <row r="6" customFormat="false" ht="23.25" hidden="false" customHeight="true" outlineLevel="0" collapsed="false">
      <c r="A6" s="6" t="s">
        <v>325</v>
      </c>
      <c r="B6" s="6" t="s">
        <v>326</v>
      </c>
      <c r="C6" s="6" t="s">
        <v>327</v>
      </c>
      <c r="D6" s="6" t="s">
        <v>328</v>
      </c>
      <c r="E6" s="6" t="s">
        <v>329</v>
      </c>
      <c r="F6" s="6" t="s">
        <v>330</v>
      </c>
      <c r="G6" s="6" t="s">
        <v>36</v>
      </c>
      <c r="H6" s="6" t="s">
        <v>331</v>
      </c>
    </row>
    <row r="7" customFormat="false" ht="23.25" hidden="false" customHeight="true" outlineLevel="0" collapsed="false">
      <c r="A7" s="5" t="s">
        <v>332</v>
      </c>
      <c r="B7" s="5" t="s">
        <v>318</v>
      </c>
      <c r="C7" s="5" t="s">
        <v>333</v>
      </c>
      <c r="D7" s="5" t="s">
        <v>334</v>
      </c>
      <c r="E7" s="5" t="s">
        <v>329</v>
      </c>
      <c r="F7" s="5" t="s">
        <v>335</v>
      </c>
      <c r="G7" s="5" t="s">
        <v>336</v>
      </c>
      <c r="H7" s="5" t="s">
        <v>337</v>
      </c>
    </row>
    <row r="8" customFormat="false" ht="23.25" hidden="false" customHeight="true" outlineLevel="0" collapsed="false">
      <c r="A8" s="6" t="s">
        <v>338</v>
      </c>
      <c r="B8" s="6" t="s">
        <v>339</v>
      </c>
      <c r="C8" s="6" t="s">
        <v>340</v>
      </c>
      <c r="D8" s="6" t="s">
        <v>341</v>
      </c>
      <c r="E8" s="6" t="s">
        <v>329</v>
      </c>
      <c r="F8" s="6" t="s">
        <v>342</v>
      </c>
      <c r="G8" s="6" t="s">
        <v>343</v>
      </c>
      <c r="H8" s="6" t="s">
        <v>344</v>
      </c>
    </row>
    <row r="9" customFormat="false" ht="15" hidden="false" customHeight="true" outlineLevel="0" collapsed="false">
      <c r="A9" s="5" t="s">
        <v>345</v>
      </c>
      <c r="B9" s="5" t="s">
        <v>339</v>
      </c>
      <c r="C9" s="5" t="s">
        <v>346</v>
      </c>
      <c r="D9" s="5" t="s">
        <v>347</v>
      </c>
      <c r="E9" s="5" t="s">
        <v>329</v>
      </c>
      <c r="F9" s="5" t="s">
        <v>342</v>
      </c>
      <c r="G9" s="5" t="s">
        <v>343</v>
      </c>
      <c r="H9" s="5" t="s">
        <v>348</v>
      </c>
    </row>
    <row r="10" customFormat="false" ht="23.25" hidden="false" customHeight="true" outlineLevel="0" collapsed="false">
      <c r="A10" s="6" t="s">
        <v>349</v>
      </c>
      <c r="B10" s="6" t="s">
        <v>339</v>
      </c>
      <c r="C10" s="6" t="s">
        <v>350</v>
      </c>
      <c r="D10" s="6" t="s">
        <v>351</v>
      </c>
      <c r="E10" s="6" t="s">
        <v>352</v>
      </c>
      <c r="F10" s="6" t="s">
        <v>353</v>
      </c>
      <c r="G10" s="6" t="s">
        <v>16</v>
      </c>
      <c r="H10" s="6" t="s">
        <v>354</v>
      </c>
    </row>
    <row r="11" customFormat="false" ht="23.25" hidden="false" customHeight="true" outlineLevel="0" collapsed="false">
      <c r="A11" s="5" t="s">
        <v>355</v>
      </c>
      <c r="B11" s="5" t="s">
        <v>318</v>
      </c>
      <c r="C11" s="5" t="s">
        <v>356</v>
      </c>
      <c r="D11" s="5" t="s">
        <v>357</v>
      </c>
      <c r="E11" s="5" t="s">
        <v>358</v>
      </c>
      <c r="F11" s="5" t="s">
        <v>359</v>
      </c>
      <c r="G11" s="5" t="s">
        <v>360</v>
      </c>
      <c r="H11" s="5" t="s">
        <v>361</v>
      </c>
    </row>
    <row r="12" customFormat="false" ht="23.25" hidden="false" customHeight="true" outlineLevel="0" collapsed="false">
      <c r="A12" s="6" t="s">
        <v>362</v>
      </c>
      <c r="B12" s="6" t="s">
        <v>339</v>
      </c>
      <c r="C12" s="6" t="s">
        <v>363</v>
      </c>
      <c r="D12" s="6" t="s">
        <v>364</v>
      </c>
      <c r="E12" s="6" t="s">
        <v>358</v>
      </c>
      <c r="F12" s="6" t="s">
        <v>365</v>
      </c>
      <c r="G12" s="6" t="s">
        <v>36</v>
      </c>
      <c r="H12" s="6" t="s">
        <v>366</v>
      </c>
    </row>
    <row r="13" customFormat="false" ht="23.25" hidden="false" customHeight="true" outlineLevel="0" collapsed="false">
      <c r="A13" s="5" t="s">
        <v>367</v>
      </c>
      <c r="B13" s="5" t="s">
        <v>368</v>
      </c>
      <c r="C13" s="5" t="s">
        <v>369</v>
      </c>
      <c r="D13" s="5" t="s">
        <v>370</v>
      </c>
      <c r="E13" s="5" t="s">
        <v>358</v>
      </c>
      <c r="F13" s="5" t="s">
        <v>371</v>
      </c>
      <c r="G13" s="5" t="s">
        <v>36</v>
      </c>
      <c r="H13" s="5" t="s">
        <v>372</v>
      </c>
    </row>
    <row r="14" customFormat="false" ht="23.25" hidden="false" customHeight="true" outlineLevel="0" collapsed="false">
      <c r="A14" s="6" t="s">
        <v>373</v>
      </c>
      <c r="B14" s="6" t="s">
        <v>374</v>
      </c>
      <c r="C14" s="6" t="s">
        <v>375</v>
      </c>
      <c r="D14" s="6" t="s">
        <v>376</v>
      </c>
      <c r="E14" s="6" t="s">
        <v>377</v>
      </c>
      <c r="F14" s="6" t="s">
        <v>378</v>
      </c>
      <c r="G14" s="6" t="s">
        <v>36</v>
      </c>
      <c r="H14" s="6" t="s">
        <v>379</v>
      </c>
    </row>
    <row r="15" customFormat="false" ht="23.25" hidden="false" customHeight="true" outlineLevel="0" collapsed="false">
      <c r="A15" s="5" t="s">
        <v>380</v>
      </c>
      <c r="B15" s="5" t="s">
        <v>318</v>
      </c>
      <c r="C15" s="5" t="s">
        <v>381</v>
      </c>
      <c r="D15" s="5" t="s">
        <v>382</v>
      </c>
      <c r="E15" s="5" t="s">
        <v>358</v>
      </c>
      <c r="F15" s="5" t="s">
        <v>318</v>
      </c>
      <c r="G15" s="5" t="s">
        <v>360</v>
      </c>
      <c r="H15" s="5" t="s">
        <v>383</v>
      </c>
    </row>
    <row r="16" customFormat="false" ht="23.25" hidden="false" customHeight="true" outlineLevel="0" collapsed="false">
      <c r="A16" s="6" t="s">
        <v>384</v>
      </c>
      <c r="B16" s="6" t="s">
        <v>318</v>
      </c>
      <c r="C16" s="6" t="s">
        <v>385</v>
      </c>
      <c r="D16" s="6" t="s">
        <v>386</v>
      </c>
      <c r="E16" s="6" t="s">
        <v>358</v>
      </c>
      <c r="F16" s="6" t="s">
        <v>387</v>
      </c>
      <c r="G16" s="6" t="s">
        <v>360</v>
      </c>
      <c r="H16" s="6" t="s">
        <v>388</v>
      </c>
    </row>
  </sheetData>
  <mergeCells count="2">
    <mergeCell ref="A1:H1"/>
    <mergeCell ref="A2:H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8"/>
  </cols>
  <sheetData>
    <row r="1" customFormat="false" ht="21.75" hidden="false" customHeight="true" outlineLevel="0" collapsed="false">
      <c r="A1" s="2" t="s">
        <v>389</v>
      </c>
      <c r="B1" s="2"/>
      <c r="C1" s="2"/>
      <c r="D1" s="2"/>
      <c r="E1" s="2"/>
    </row>
    <row r="2" customFormat="false" ht="15" hidden="false" customHeight="true" outlineLevel="0" collapsed="false">
      <c r="A2" s="3" t="s">
        <v>390</v>
      </c>
      <c r="B2" s="3"/>
      <c r="C2" s="3"/>
      <c r="D2" s="3"/>
      <c r="E2" s="3"/>
    </row>
    <row r="4" customFormat="false" ht="31.5" hidden="false" customHeight="true" outlineLevel="0" collapsed="false">
      <c r="A4" s="4" t="s">
        <v>391</v>
      </c>
      <c r="B4" s="4" t="s">
        <v>392</v>
      </c>
      <c r="C4" s="4" t="s">
        <v>393</v>
      </c>
      <c r="D4" s="4" t="s">
        <v>394</v>
      </c>
      <c r="E4" s="4" t="s">
        <v>395</v>
      </c>
    </row>
    <row r="5" customFormat="false" ht="15" hidden="false" customHeight="true" outlineLevel="0" collapsed="false">
      <c r="A5" s="5" t="s">
        <v>396</v>
      </c>
      <c r="B5" s="5" t="n">
        <v>200</v>
      </c>
      <c r="C5" s="5" t="n">
        <v>800</v>
      </c>
      <c r="D5" s="5" t="n">
        <v>2500</v>
      </c>
      <c r="E5" s="5" t="n">
        <v>5000</v>
      </c>
    </row>
    <row r="6" customFormat="false" ht="15" hidden="false" customHeight="true" outlineLevel="0" collapsed="false">
      <c r="A6" s="6" t="s">
        <v>397</v>
      </c>
      <c r="B6" s="6" t="n">
        <v>5</v>
      </c>
      <c r="C6" s="6" t="n">
        <v>75</v>
      </c>
      <c r="D6" s="6" t="n">
        <v>350</v>
      </c>
      <c r="E6" s="6" t="n">
        <v>1500</v>
      </c>
    </row>
    <row r="7" customFormat="false" ht="15" hidden="false" customHeight="true" outlineLevel="0" collapsed="false">
      <c r="A7" s="5" t="s">
        <v>398</v>
      </c>
      <c r="B7" s="5" t="n">
        <v>8</v>
      </c>
      <c r="C7" s="5" t="n">
        <v>5</v>
      </c>
      <c r="D7" s="5" t="n">
        <v>4</v>
      </c>
      <c r="E7" s="5" t="n">
        <v>3</v>
      </c>
    </row>
    <row r="8" customFormat="false" ht="15" hidden="false" customHeight="true" outlineLevel="0" collapsed="false">
      <c r="A8" s="6" t="s">
        <v>399</v>
      </c>
      <c r="B8" s="6" t="s">
        <v>400</v>
      </c>
      <c r="C8" s="6" t="s">
        <v>401</v>
      </c>
      <c r="D8" s="6" t="s">
        <v>402</v>
      </c>
      <c r="E8" s="6" t="s">
        <v>403</v>
      </c>
    </row>
    <row r="9" customFormat="false" ht="15" hidden="false" customHeight="true" outlineLevel="0" collapsed="false">
      <c r="A9" s="5" t="s">
        <v>404</v>
      </c>
      <c r="B9" s="5" t="n">
        <v>0</v>
      </c>
      <c r="C9" s="5" t="n">
        <v>1</v>
      </c>
      <c r="D9" s="5" t="n">
        <v>1</v>
      </c>
      <c r="E9" s="5" t="n">
        <v>2</v>
      </c>
    </row>
    <row r="10" customFormat="false" ht="15" hidden="false" customHeight="true" outlineLevel="0" collapsed="false">
      <c r="A10" s="6" t="s">
        <v>405</v>
      </c>
      <c r="B10" s="6" t="n">
        <v>0</v>
      </c>
      <c r="C10" s="6" t="n">
        <v>0</v>
      </c>
      <c r="D10" s="6" t="n">
        <v>1</v>
      </c>
      <c r="E10" s="6" t="n">
        <v>5</v>
      </c>
    </row>
    <row r="11" customFormat="false" ht="15" hidden="false" customHeight="true" outlineLevel="0" collapsed="false">
      <c r="A11" s="5" t="s">
        <v>406</v>
      </c>
      <c r="B11" s="5" t="n">
        <v>0</v>
      </c>
      <c r="C11" s="5" t="n">
        <v>50</v>
      </c>
      <c r="D11" s="5" t="n">
        <v>250</v>
      </c>
      <c r="E11" s="5" t="n">
        <v>800</v>
      </c>
    </row>
    <row r="12" customFormat="false" ht="15" hidden="false" customHeight="true" outlineLevel="0" collapsed="false">
      <c r="A12" s="6" t="s">
        <v>407</v>
      </c>
      <c r="B12" s="6" t="n">
        <v>1</v>
      </c>
      <c r="C12" s="6" t="n">
        <v>2</v>
      </c>
      <c r="D12" s="6" t="n">
        <v>4</v>
      </c>
      <c r="E12" s="6" t="n">
        <v>5</v>
      </c>
    </row>
    <row r="13" customFormat="false" ht="15" hidden="false" customHeight="true" outlineLevel="0" collapsed="false">
      <c r="A13" s="5" t="s">
        <v>408</v>
      </c>
      <c r="B13" s="5" t="n">
        <v>1</v>
      </c>
      <c r="C13" s="5" t="n">
        <v>2</v>
      </c>
      <c r="D13" s="5" t="n">
        <v>3</v>
      </c>
      <c r="E13" s="5" t="n">
        <v>3</v>
      </c>
    </row>
    <row r="14" customFormat="false" ht="15" hidden="false" customHeight="true" outlineLevel="0" collapsed="false">
      <c r="A14" s="6" t="s">
        <v>409</v>
      </c>
      <c r="B14" s="6" t="n">
        <v>600</v>
      </c>
      <c r="C14" s="6" t="n">
        <v>1800</v>
      </c>
      <c r="D14" s="6" t="n">
        <v>3200</v>
      </c>
      <c r="E14" s="6" t="n">
        <v>4500</v>
      </c>
    </row>
    <row r="15" customFormat="false" ht="15" hidden="false" customHeight="true" outlineLevel="0" collapsed="false">
      <c r="A15" s="5" t="s">
        <v>410</v>
      </c>
      <c r="B15" s="5" t="s">
        <v>411</v>
      </c>
      <c r="C15" s="5" t="n">
        <v>25</v>
      </c>
      <c r="D15" s="5" t="n">
        <v>35</v>
      </c>
      <c r="E15" s="5" t="n">
        <v>45</v>
      </c>
    </row>
    <row r="16" customFormat="false" ht="15" hidden="false" customHeight="true" outlineLevel="0" collapsed="false">
      <c r="A16" s="6" t="s">
        <v>412</v>
      </c>
      <c r="B16" s="6" t="n">
        <v>0</v>
      </c>
      <c r="C16" s="6" t="n">
        <v>5000</v>
      </c>
      <c r="D16" s="6" t="n">
        <v>30000</v>
      </c>
      <c r="E16" s="6" t="n">
        <v>150000</v>
      </c>
    </row>
    <row r="17" customFormat="false" ht="15" hidden="false" customHeight="true" outlineLevel="0" collapsed="false">
      <c r="A17" s="5" t="s">
        <v>413</v>
      </c>
      <c r="B17" s="5" t="s">
        <v>414</v>
      </c>
      <c r="C17" s="5" t="s">
        <v>415</v>
      </c>
      <c r="D17" s="5" t="s">
        <v>416</v>
      </c>
      <c r="E17" s="5" t="s">
        <v>416</v>
      </c>
    </row>
    <row r="18" customFormat="false" ht="15" hidden="false" customHeight="true" outlineLevel="0" collapsed="false">
      <c r="A18" s="6" t="s">
        <v>417</v>
      </c>
      <c r="B18" s="6" t="s">
        <v>191</v>
      </c>
      <c r="C18" s="6" t="s">
        <v>208</v>
      </c>
      <c r="D18" s="6" t="s">
        <v>208</v>
      </c>
      <c r="E18" s="6" t="s">
        <v>208</v>
      </c>
    </row>
    <row r="19" customFormat="false" ht="15" hidden="false" customHeight="true" outlineLevel="0" collapsed="false">
      <c r="A19" s="5" t="s">
        <v>418</v>
      </c>
      <c r="B19" s="5" t="s">
        <v>191</v>
      </c>
      <c r="C19" s="5" t="s">
        <v>191</v>
      </c>
      <c r="D19" s="5" t="s">
        <v>419</v>
      </c>
      <c r="E19" s="5" t="s">
        <v>208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2026-05-06T20:35:40Z</dcterms:created>
  <dc:creator>openpyxl</dc:creator>
  <dc:description/>
  <dc:language>en-US</dc:language>
  <cp:lastModifiedBy/>
  <dcterms:modified xsi:type="dcterms:W3CDTF">2026-05-06T20:41:44Z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